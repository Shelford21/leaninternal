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ty Karunia\LEAN\Line Balancing\"/>
    </mc:Choice>
  </mc:AlternateContent>
  <xr:revisionPtr revIDLastSave="0" documentId="13_ncr:1_{2817EAB1-8460-4CE0-B78E-F454F419D192}" xr6:coauthVersionLast="45" xr6:coauthVersionMax="45" xr10:uidLastSave="{00000000-0000-0000-0000-000000000000}"/>
  <bookViews>
    <workbookView minimized="1" xWindow="7545" yWindow="4905" windowWidth="21255" windowHeight="10575" xr2:uid="{B574BB6B-8344-4D33-9381-092F4C549A1F}"/>
  </bookViews>
  <sheets>
    <sheet name="LB Livlig" sheetId="2" r:id="rId1"/>
  </sheets>
  <externalReferences>
    <externalReference r:id="rId2"/>
    <externalReference r:id="rId3"/>
    <externalReference r:id="rId4"/>
    <externalReference r:id="rId5"/>
  </externalReferences>
  <definedNames>
    <definedName name="_1Excel_BuiltIn_Print_Area_2_1_1_1_1">#REF!</definedName>
    <definedName name="A" localSheetId="0">INDEX([0]!LAYOUT,[2]HOME!$F$6)</definedName>
    <definedName name="A">INDEX(LAYOUT,[2]HOME!$F$6)</definedName>
    <definedName name="Excel_BuiltIn_Print_Area_1_1">#REF!</definedName>
    <definedName name="Excel_BuiltIn_Print_Area_1_1_1">#REF!</definedName>
    <definedName name="Excel_BuiltIn_Print_Area_2_1">#REF!</definedName>
    <definedName name="Excel_BuiltIn_Print_Area_2_1_1_1">#REF!</definedName>
    <definedName name="Excel_BuiltIn_Print_Area_4">#REF!</definedName>
    <definedName name="GAMBAR">'[2]DATA BASE'!$H$5:$H$1000</definedName>
    <definedName name="LAYOUT">'[2]DATA BASE'!$I$5:$I$1000</definedName>
    <definedName name="Mantenance" localSheetId="0">#REF!</definedName>
    <definedName name="Mantenance">#REF!</definedName>
    <definedName name="notifications">OFFSET([3]Settings!$C$1,1,0,MATCH(REPT("z",255),[3]Settings!$C:$C),1)</definedName>
    <definedName name="overall">[4]Q_file!$B$174:$M$214</definedName>
    <definedName name="_xlnm.Print_Area" localSheetId="0">'LB Livlig'!$B$7:$D$31</definedName>
    <definedName name="priorities">OFFSET([3]Settings!$A$1,1,0,MATCH(REPT("z",255),[3]Settings!$A:$A),1)</definedName>
    <definedName name="qfile1">[4]Q_file!$B$31:$L$101</definedName>
    <definedName name="qfile2">[4]Q_file!$B$106:$M$173</definedName>
    <definedName name="QFile3">[4]Q_file!$B$174:$M$213</definedName>
    <definedName name="SHOW" localSheetId="0">INDEX([0]!GAMBAR,[2]HOME!$F$6)</definedName>
    <definedName name="SHOW">INDEX(GAMBAR,[2]HOME!$F$6)</definedName>
    <definedName name="SHOW2" localSheetId="0">INDEX([0]!LAYOUT,[2]HOME!$F$6)</definedName>
    <definedName name="SHOW2">INDEX(LAYOUT,[2]HOME!$F$6)</definedName>
    <definedName name="status">OFFSET([3]Settings!$B$1,1,0,MATCH(REPT("z",255),[3]Settings!$B:$B),1)</definedName>
    <definedName name="valuevx">42.314159</definedName>
    <definedName name="vertex42_copyright" hidden="1">"© 2012-2017 Vertex42 LLC"</definedName>
    <definedName name="vertex42_id" hidden="1">"project-tracking.xlsx"</definedName>
    <definedName name="vertex42_title" hidden="1">"Project Tracking Template"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" i="2" l="1"/>
  <c r="R35" i="2"/>
  <c r="G32" i="2"/>
  <c r="R36" i="2" s="1"/>
  <c r="V31" i="2"/>
  <c r="U31" i="2"/>
  <c r="J31" i="2"/>
  <c r="I31" i="2"/>
  <c r="H31" i="2"/>
  <c r="M31" i="2" s="1"/>
  <c r="V30" i="2"/>
  <c r="U30" i="2"/>
  <c r="J30" i="2"/>
  <c r="I30" i="2"/>
  <c r="H30" i="2"/>
  <c r="M30" i="2" s="1"/>
  <c r="V29" i="2"/>
  <c r="U29" i="2"/>
  <c r="J29" i="2"/>
  <c r="I29" i="2"/>
  <c r="H29" i="2"/>
  <c r="M29" i="2" s="1"/>
  <c r="V28" i="2"/>
  <c r="U28" i="2"/>
  <c r="M28" i="2"/>
  <c r="O28" i="2" s="1"/>
  <c r="V27" i="2"/>
  <c r="U27" i="2"/>
  <c r="M27" i="2"/>
  <c r="O27" i="2" s="1"/>
  <c r="R27" i="2" s="1"/>
  <c r="V26" i="2"/>
  <c r="U26" i="2"/>
  <c r="J26" i="2"/>
  <c r="I26" i="2"/>
  <c r="H26" i="2"/>
  <c r="M26" i="2" s="1"/>
  <c r="V25" i="2"/>
  <c r="U25" i="2"/>
  <c r="M25" i="2"/>
  <c r="O25" i="2" s="1"/>
  <c r="V24" i="2"/>
  <c r="U24" i="2"/>
  <c r="J24" i="2"/>
  <c r="I24" i="2"/>
  <c r="H24" i="2"/>
  <c r="V23" i="2"/>
  <c r="U23" i="2"/>
  <c r="J23" i="2"/>
  <c r="I23" i="2"/>
  <c r="H23" i="2"/>
  <c r="M23" i="2" s="1"/>
  <c r="V22" i="2"/>
  <c r="U22" i="2"/>
  <c r="M22" i="2"/>
  <c r="O22" i="2" s="1"/>
  <c r="V21" i="2"/>
  <c r="U21" i="2"/>
  <c r="J21" i="2"/>
  <c r="I21" i="2"/>
  <c r="H21" i="2"/>
  <c r="M21" i="2" s="1"/>
  <c r="V20" i="2"/>
  <c r="U20" i="2"/>
  <c r="M20" i="2"/>
  <c r="O20" i="2" s="1"/>
  <c r="V19" i="2"/>
  <c r="U19" i="2"/>
  <c r="J19" i="2"/>
  <c r="I19" i="2"/>
  <c r="H19" i="2"/>
  <c r="V18" i="2"/>
  <c r="U18" i="2"/>
  <c r="M18" i="2"/>
  <c r="O18" i="2" s="1"/>
  <c r="V17" i="2"/>
  <c r="U17" i="2"/>
  <c r="M17" i="2"/>
  <c r="N17" i="2" s="1"/>
  <c r="P17" i="2" s="1"/>
  <c r="Q17" i="2" s="1"/>
  <c r="T17" i="2" s="1"/>
  <c r="V16" i="2"/>
  <c r="U16" i="2"/>
  <c r="M16" i="2"/>
  <c r="O16" i="2" s="1"/>
  <c r="V15" i="2"/>
  <c r="U15" i="2"/>
  <c r="M15" i="2"/>
  <c r="O15" i="2" s="1"/>
  <c r="V14" i="2"/>
  <c r="U14" i="2"/>
  <c r="J14" i="2"/>
  <c r="I14" i="2"/>
  <c r="H14" i="2"/>
  <c r="M14" i="2" s="1"/>
  <c r="V13" i="2"/>
  <c r="U13" i="2"/>
  <c r="J13" i="2"/>
  <c r="I13" i="2"/>
  <c r="H13" i="2"/>
  <c r="M13" i="2" s="1"/>
  <c r="V12" i="2"/>
  <c r="U12" i="2"/>
  <c r="J12" i="2"/>
  <c r="I12" i="2"/>
  <c r="H12" i="2"/>
  <c r="M12" i="2" s="1"/>
  <c r="V11" i="2"/>
  <c r="U11" i="2"/>
  <c r="J11" i="2"/>
  <c r="I11" i="2"/>
  <c r="H11" i="2"/>
  <c r="M11" i="2" s="1"/>
  <c r="G10" i="2"/>
  <c r="H6" i="2"/>
  <c r="L4" i="2" s="1"/>
  <c r="Q4" i="2"/>
  <c r="O21" i="2" l="1"/>
  <c r="R21" i="2" s="1"/>
  <c r="N21" i="2"/>
  <c r="P21" i="2" s="1"/>
  <c r="Q21" i="2" s="1"/>
  <c r="T21" i="2" s="1"/>
  <c r="N28" i="2"/>
  <c r="P28" i="2" s="1"/>
  <c r="Q28" i="2" s="1"/>
  <c r="T28" i="2" s="1"/>
  <c r="R16" i="2"/>
  <c r="N25" i="2"/>
  <c r="P25" i="2" s="1"/>
  <c r="Q25" i="2" s="1"/>
  <c r="T25" i="2" s="1"/>
  <c r="R18" i="2"/>
  <c r="R20" i="2"/>
  <c r="R22" i="2"/>
  <c r="R28" i="2"/>
  <c r="M24" i="2"/>
  <c r="O24" i="2" s="1"/>
  <c r="R24" i="2" s="1"/>
  <c r="R25" i="2"/>
  <c r="R15" i="2"/>
  <c r="M19" i="2"/>
  <c r="O11" i="2"/>
  <c r="N11" i="2"/>
  <c r="O23" i="2"/>
  <c r="R23" i="2" s="1"/>
  <c r="N23" i="2"/>
  <c r="P23" i="2" s="1"/>
  <c r="Q23" i="2" s="1"/>
  <c r="T23" i="2" s="1"/>
  <c r="O26" i="2"/>
  <c r="R26" i="2" s="1"/>
  <c r="N26" i="2"/>
  <c r="P26" i="2" s="1"/>
  <c r="Q26" i="2" s="1"/>
  <c r="T26" i="2" s="1"/>
  <c r="O19" i="2"/>
  <c r="R19" i="2" s="1"/>
  <c r="N19" i="2"/>
  <c r="P19" i="2" s="1"/>
  <c r="Q19" i="2" s="1"/>
  <c r="T19" i="2" s="1"/>
  <c r="O30" i="2"/>
  <c r="R30" i="2" s="1"/>
  <c r="N30" i="2"/>
  <c r="P30" i="2" s="1"/>
  <c r="Q30" i="2" s="1"/>
  <c r="T30" i="2" s="1"/>
  <c r="O29" i="2"/>
  <c r="R29" i="2" s="1"/>
  <c r="N29" i="2"/>
  <c r="P29" i="2" s="1"/>
  <c r="Q29" i="2" s="1"/>
  <c r="T29" i="2" s="1"/>
  <c r="O31" i="2"/>
  <c r="R31" i="2" s="1"/>
  <c r="N31" i="2"/>
  <c r="P31" i="2" s="1"/>
  <c r="Q31" i="2" s="1"/>
  <c r="T31" i="2" s="1"/>
  <c r="O12" i="2"/>
  <c r="R12" i="2" s="1"/>
  <c r="N12" i="2"/>
  <c r="P12" i="2" s="1"/>
  <c r="Q12" i="2" s="1"/>
  <c r="T12" i="2" s="1"/>
  <c r="O14" i="2"/>
  <c r="R14" i="2" s="1"/>
  <c r="N14" i="2"/>
  <c r="P14" i="2" s="1"/>
  <c r="Q14" i="2" s="1"/>
  <c r="T14" i="2" s="1"/>
  <c r="O13" i="2"/>
  <c r="R13" i="2" s="1"/>
  <c r="N13" i="2"/>
  <c r="P13" i="2" s="1"/>
  <c r="Q13" i="2" s="1"/>
  <c r="T13" i="2" s="1"/>
  <c r="N15" i="2"/>
  <c r="P15" i="2" s="1"/>
  <c r="Q15" i="2" s="1"/>
  <c r="T15" i="2" s="1"/>
  <c r="N20" i="2"/>
  <c r="P20" i="2" s="1"/>
  <c r="Q20" i="2" s="1"/>
  <c r="T20" i="2" s="1"/>
  <c r="N22" i="2"/>
  <c r="P22" i="2" s="1"/>
  <c r="Q22" i="2" s="1"/>
  <c r="T22" i="2" s="1"/>
  <c r="N27" i="2"/>
  <c r="P27" i="2" s="1"/>
  <c r="Q27" i="2" s="1"/>
  <c r="T27" i="2" s="1"/>
  <c r="O17" i="2"/>
  <c r="R17" i="2" s="1"/>
  <c r="N16" i="2"/>
  <c r="P16" i="2" s="1"/>
  <c r="Q16" i="2" s="1"/>
  <c r="T16" i="2" s="1"/>
  <c r="N18" i="2"/>
  <c r="P18" i="2" s="1"/>
  <c r="Q18" i="2" s="1"/>
  <c r="T18" i="2" s="1"/>
  <c r="N24" i="2" l="1"/>
  <c r="P24" i="2" s="1"/>
  <c r="Q24" i="2" s="1"/>
  <c r="T24" i="2" s="1"/>
  <c r="M32" i="2"/>
  <c r="P11" i="2"/>
  <c r="N32" i="2"/>
  <c r="N10" i="2"/>
  <c r="R42" i="2" s="1"/>
  <c r="O10" i="2"/>
  <c r="O32" i="2"/>
  <c r="R11" i="2"/>
  <c r="R32" i="2" s="1"/>
  <c r="R39" i="2" l="1"/>
  <c r="R40" i="2" s="1"/>
  <c r="R41" i="2" s="1"/>
  <c r="R37" i="2"/>
  <c r="Q11" i="2"/>
  <c r="P32" i="2"/>
  <c r="P10" i="2"/>
  <c r="Q32" i="2" l="1"/>
  <c r="Q10" i="2"/>
  <c r="S11" i="2"/>
  <c r="T11" i="2"/>
  <c r="T32" i="2" l="1"/>
  <c r="T10" i="2"/>
</calcChain>
</file>

<file path=xl/sharedStrings.xml><?xml version="1.0" encoding="utf-8"?>
<sst xmlns="http://schemas.openxmlformats.org/spreadsheetml/2006/main" count="116" uniqueCount="92">
  <si>
    <t>LINE BALANCING SEWING</t>
  </si>
  <si>
    <t>PT. QUTY KARUNIA</t>
  </si>
  <si>
    <t>Line</t>
  </si>
  <si>
    <t>Quty 1 C4</t>
  </si>
  <si>
    <t>PPH</t>
  </si>
  <si>
    <t>Target Output /Hours</t>
  </si>
  <si>
    <t>LEAN &amp; IE DEPARTEMENT</t>
  </si>
  <si>
    <t>Article</t>
  </si>
  <si>
    <t xml:space="preserve">Livlig Husky </t>
  </si>
  <si>
    <t>Target Output / Day</t>
  </si>
  <si>
    <t xml:space="preserve">CYCLE TIME ANALYZE </t>
  </si>
  <si>
    <t>Update</t>
  </si>
  <si>
    <t>Time 1 Hours</t>
  </si>
  <si>
    <t>Sub Total Operator</t>
  </si>
  <si>
    <t>Takt Time</t>
  </si>
  <si>
    <t>No</t>
  </si>
  <si>
    <t>Machine</t>
  </si>
  <si>
    <t>Process</t>
  </si>
  <si>
    <t>Name</t>
  </si>
  <si>
    <t>Joint process</t>
  </si>
  <si>
    <t>Operator</t>
  </si>
  <si>
    <t>Cycle Time</t>
  </si>
  <si>
    <t>Average Cycle Time</t>
  </si>
  <si>
    <t>Average Cycle Time + Allowance 15 %</t>
  </si>
  <si>
    <t>Average CT / Process</t>
  </si>
  <si>
    <t>Output / Hours</t>
  </si>
  <si>
    <t>Output Process / Hours</t>
  </si>
  <si>
    <t>Request Operator</t>
  </si>
  <si>
    <t>Average Output/ Hour</t>
  </si>
  <si>
    <t>Potential Output/Process</t>
  </si>
  <si>
    <t>SNLS</t>
  </si>
  <si>
    <t xml:space="preserve">Kupnat badan depan + Jahit ekor awal </t>
  </si>
  <si>
    <t>Ujang S</t>
  </si>
  <si>
    <t xml:space="preserve">Jahit paha dalam awal kiri &amp; kanan + Jahit tangan kanan </t>
  </si>
  <si>
    <t xml:space="preserve">Dede Wiwin </t>
  </si>
  <si>
    <t xml:space="preserve">Jahit tangan dalam kiri dan kanan + Jahit paha dalam kiri dan kanan </t>
  </si>
  <si>
    <t xml:space="preserve">Nunung </t>
  </si>
  <si>
    <t xml:space="preserve">Gabung badan depan ke dada + Gabung badan samping kiri &amp; kanan </t>
  </si>
  <si>
    <t xml:space="preserve">Supendi </t>
  </si>
  <si>
    <t xml:space="preserve">Pasang tangan kiri &amp; kanan ke body </t>
  </si>
  <si>
    <t xml:space="preserve">Winda </t>
  </si>
  <si>
    <t xml:space="preserve">Tutup badan samping kiri &amp; kanan </t>
  </si>
  <si>
    <t xml:space="preserve">Marna </t>
  </si>
  <si>
    <t xml:space="preserve">Pasang paha kiri &amp; kanan ke body </t>
  </si>
  <si>
    <t xml:space="preserve">Linda </t>
  </si>
  <si>
    <t xml:space="preserve">Tutup ekor + Gabung ekor ke body + Tutup punggung </t>
  </si>
  <si>
    <t xml:space="preserve">Dewi Enggar </t>
  </si>
  <si>
    <t xml:space="preserve">Jahit tangan awal kiri + Pasang label &amp; tutup pantat </t>
  </si>
  <si>
    <t xml:space="preserve">Irnawati </t>
  </si>
  <si>
    <t xml:space="preserve">Pasang telapak 3x </t>
  </si>
  <si>
    <t xml:space="preserve">Ucih </t>
  </si>
  <si>
    <t xml:space="preserve">Gabung kepala ke badan + Pasang  telapak 1x + Tutup punggung </t>
  </si>
  <si>
    <t xml:space="preserve">Cucu H </t>
  </si>
  <si>
    <t xml:space="preserve"> Pasang spot kiri &amp; kanan </t>
  </si>
  <si>
    <t xml:space="preserve">Hasan </t>
  </si>
  <si>
    <t xml:space="preserve">Jahit telinga awal kiri &amp; kanan + Stik telinga kiri &amp; kanan </t>
  </si>
  <si>
    <t xml:space="preserve">Munasipa </t>
  </si>
  <si>
    <t xml:space="preserve">Pasang lidah ke bibir + Stik lidah + Kupnat tangan kiri &amp; kanan </t>
  </si>
  <si>
    <t xml:space="preserve">Ardi Wijaya </t>
  </si>
  <si>
    <t xml:space="preserve">Pasang kening ke pipi kiri &amp; kanan + Jahit dagu </t>
  </si>
  <si>
    <t xml:space="preserve">Edeh Komala </t>
  </si>
  <si>
    <t xml:space="preserve">Kupnat paha kiri &amp; kanan + Pasang Embo mata ke pipi kiri &amp; kanan </t>
  </si>
  <si>
    <t xml:space="preserve">Milata </t>
  </si>
  <si>
    <t xml:space="preserve">Pasang telinga kiri &amp; kanan + Pasang dagu </t>
  </si>
  <si>
    <t xml:space="preserve">Nani </t>
  </si>
  <si>
    <t xml:space="preserve">Pasang + lipat hidung + Pasang Tc ke batang hidung </t>
  </si>
  <si>
    <t xml:space="preserve">Alit </t>
  </si>
  <si>
    <t xml:space="preserve">Kupnat pipi kiri &amp; kakan + Pasang pipi ke muka + Kupnat dada </t>
  </si>
  <si>
    <t xml:space="preserve">Itoh </t>
  </si>
  <si>
    <t xml:space="preserve">Gabung lidah ke mulut  + pasang mulut embo mata + kupnat dagu </t>
  </si>
  <si>
    <t xml:space="preserve">Nurhasanah </t>
  </si>
  <si>
    <t xml:space="preserve">Gabung kepala belakang kiri dan kanan + Gambung kepala belakang ke muka </t>
  </si>
  <si>
    <t xml:space="preserve">Amanan Mulyanan </t>
  </si>
  <si>
    <t xml:space="preserve">  </t>
  </si>
  <si>
    <t>Total</t>
  </si>
  <si>
    <t>TOTAL CYCLE TIME</t>
  </si>
  <si>
    <t>SEC</t>
  </si>
  <si>
    <t>TOTAL MANPOWER</t>
  </si>
  <si>
    <t>PERSON</t>
  </si>
  <si>
    <t>AVERAGE STANDARD TIME</t>
  </si>
  <si>
    <t>SEC / PERSON</t>
  </si>
  <si>
    <t>TOTAL WORKING TIME</t>
  </si>
  <si>
    <t>SEC / DAY / PERSON</t>
  </si>
  <si>
    <t>TARGET PER PCS</t>
  </si>
  <si>
    <t>PCS / DAY / PERSON</t>
  </si>
  <si>
    <t xml:space="preserve">TARGET LINE PER DAY </t>
  </si>
  <si>
    <t>TARGET LINE PER HOUR</t>
  </si>
  <si>
    <t>PCS/HOUR</t>
  </si>
  <si>
    <t>MAXIMUM BASE ON CYLE TIME</t>
  </si>
  <si>
    <t>OUTPUT ACTUAL</t>
  </si>
  <si>
    <t>PCS</t>
  </si>
  <si>
    <t>PCS/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</si>
</sst>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Productivity :&quot;0.0\ "/>
    <numFmt numFmtId="165" formatCode="0\ &quot; Pcs &quot;"/>
    <numFmt numFmtId="166" formatCode="0.0"/>
    <numFmt numFmtId="167" formatCode="0\ &quot;Pcs&quot;"/>
    <numFmt numFmtId="168" formatCode="[$-13809]dd\ mmmm\ yyyy;@"/>
    <numFmt numFmtId="169" formatCode="0\ &quot;Sec&quot;"/>
    <numFmt numFmtId="170" formatCode="0\ &quot;pcs&quot;"/>
    <numFmt numFmtId="171" formatCode="0\ &quot;second&quot;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0"/>
      <color indexed="9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3"/>
      <charset val="129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name val="Arial"/>
      <family val="2"/>
    </font>
    <font>
      <sz val="11"/>
      <color rgb="FF000000"/>
      <name val="Arial Narrow"/>
      <family val="2"/>
    </font>
    <font>
      <sz val="16"/>
      <color theme="1"/>
      <name val="Arial"/>
      <family val="2"/>
    </font>
    <font>
      <sz val="12"/>
      <color indexed="10"/>
      <name val="Arial"/>
      <family val="2"/>
    </font>
    <font>
      <sz val="11"/>
      <color theme="1"/>
      <name val="Arial Narrow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8" fillId="0" borderId="0"/>
    <xf numFmtId="0" fontId="10" fillId="0" borderId="0"/>
    <xf numFmtId="0" fontId="1" fillId="0" borderId="0"/>
    <xf numFmtId="0" fontId="12" fillId="0" borderId="0" applyNumberFormat="0" applyBorder="0" applyProtection="0"/>
    <xf numFmtId="0" fontId="14" fillId="0" borderId="0"/>
    <xf numFmtId="0" fontId="10" fillId="0" borderId="0"/>
    <xf numFmtId="170" fontId="14" fillId="0" borderId="0" applyFont="0" applyFill="0" applyBorder="0" applyAlignment="0" applyProtection="0"/>
    <xf numFmtId="0" fontId="10" fillId="0" borderId="0"/>
  </cellStyleXfs>
  <cellXfs count="129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2" xfId="1" applyFont="1" applyFill="1" applyBorder="1" applyAlignment="1" applyProtection="1">
      <alignment horizontal="center" vertical="center" wrapText="1"/>
      <protection locked="0"/>
    </xf>
    <xf numFmtId="0" fontId="2" fillId="3" borderId="3" xfId="1" applyFont="1" applyFill="1" applyBorder="1" applyAlignment="1" applyProtection="1">
      <alignment horizontal="center" vertical="center" wrapText="1"/>
      <protection locked="0"/>
    </xf>
    <xf numFmtId="0" fontId="2" fillId="3" borderId="4" xfId="1" applyFont="1" applyFill="1" applyBorder="1" applyAlignment="1" applyProtection="1">
      <alignment horizontal="center" vertical="center" wrapText="1"/>
      <protection locked="0"/>
    </xf>
    <xf numFmtId="0" fontId="2" fillId="3" borderId="5" xfId="1" applyFont="1" applyFill="1" applyBorder="1" applyAlignment="1" applyProtection="1">
      <alignment horizontal="center" vertical="center" wrapText="1"/>
      <protection locked="0"/>
    </xf>
    <xf numFmtId="0" fontId="3" fillId="0" borderId="6" xfId="1" applyFont="1" applyBorder="1" applyAlignment="1" applyProtection="1">
      <alignment vertical="center" wrapText="1"/>
      <protection locked="0"/>
    </xf>
    <xf numFmtId="0" fontId="1" fillId="0" borderId="0" xfId="1" applyAlignment="1" applyProtection="1">
      <alignment vertical="center" wrapText="1"/>
      <protection locked="0"/>
    </xf>
    <xf numFmtId="0" fontId="1" fillId="0" borderId="3" xfId="1" applyBorder="1" applyAlignment="1" applyProtection="1">
      <alignment vertical="center" wrapText="1"/>
      <protection locked="0"/>
    </xf>
    <xf numFmtId="15" fontId="4" fillId="0" borderId="7" xfId="1" applyNumberFormat="1" applyFont="1" applyBorder="1" applyAlignment="1" applyProtection="1">
      <alignment horizontal="center" vertical="center" wrapText="1"/>
      <protection locked="0"/>
    </xf>
    <xf numFmtId="0" fontId="5" fillId="0" borderId="3" xfId="1" applyFont="1" applyBorder="1" applyAlignment="1" applyProtection="1">
      <alignment horizontal="center" vertical="center" wrapText="1"/>
      <protection locked="0"/>
    </xf>
    <xf numFmtId="0" fontId="5" fillId="0" borderId="4" xfId="1" applyFont="1" applyBorder="1" applyAlignment="1" applyProtection="1">
      <alignment horizontal="center" vertical="center" wrapText="1"/>
      <protection locked="0"/>
    </xf>
    <xf numFmtId="0" fontId="5" fillId="0" borderId="1" xfId="1" applyFont="1" applyBorder="1" applyAlignment="1" applyProtection="1">
      <alignment horizontal="center" vertical="center" wrapText="1"/>
      <protection locked="0"/>
    </xf>
    <xf numFmtId="0" fontId="5" fillId="0" borderId="2" xfId="1" applyFont="1" applyBorder="1" applyAlignment="1" applyProtection="1">
      <alignment horizontal="center" vertical="center" wrapText="1"/>
      <protection locked="0"/>
    </xf>
    <xf numFmtId="0" fontId="5" fillId="0" borderId="8" xfId="1" applyFont="1" applyBorder="1" applyAlignment="1" applyProtection="1">
      <alignment horizontal="center" vertical="center" wrapText="1"/>
      <protection locked="0"/>
    </xf>
    <xf numFmtId="164" fontId="5" fillId="0" borderId="1" xfId="1" applyNumberFormat="1" applyFont="1" applyBorder="1" applyAlignment="1" applyProtection="1">
      <alignment horizontal="center" vertical="center" wrapText="1"/>
      <protection locked="0"/>
    </xf>
    <xf numFmtId="164" fontId="5" fillId="0" borderId="2" xfId="1" applyNumberFormat="1" applyFont="1" applyBorder="1" applyAlignment="1" applyProtection="1">
      <alignment horizontal="center" vertical="center" wrapText="1"/>
      <protection locked="0"/>
    </xf>
    <xf numFmtId="164" fontId="5" fillId="0" borderId="8" xfId="1" applyNumberFormat="1" applyFont="1" applyBorder="1" applyAlignment="1" applyProtection="1">
      <alignment horizontal="center" vertical="center" wrapText="1"/>
      <protection locked="0"/>
    </xf>
    <xf numFmtId="0" fontId="5" fillId="4" borderId="9" xfId="1" applyFont="1" applyFill="1" applyBorder="1" applyAlignment="1" applyProtection="1">
      <alignment horizontal="left" vertical="center" wrapText="1"/>
      <protection locked="0"/>
    </xf>
    <xf numFmtId="165" fontId="5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2" fillId="3" borderId="6" xfId="1" applyFont="1" applyFill="1" applyBorder="1" applyAlignment="1" applyProtection="1">
      <alignment horizontal="center" vertical="center" wrapText="1"/>
      <protection locked="0"/>
    </xf>
    <xf numFmtId="0" fontId="2" fillId="3" borderId="0" xfId="1" applyFont="1" applyFill="1" applyAlignment="1" applyProtection="1">
      <alignment horizontal="center" vertical="center" wrapText="1"/>
      <protection locked="0"/>
    </xf>
    <xf numFmtId="0" fontId="2" fillId="3" borderId="10" xfId="1" applyFont="1" applyFill="1" applyBorder="1" applyAlignment="1" applyProtection="1">
      <alignment horizontal="center" vertical="center" wrapText="1"/>
      <protection locked="0"/>
    </xf>
    <xf numFmtId="0" fontId="1" fillId="0" borderId="6" xfId="1" applyBorder="1" applyAlignment="1" applyProtection="1">
      <alignment vertical="center" wrapText="1"/>
      <protection locked="0"/>
    </xf>
    <xf numFmtId="15" fontId="4" fillId="0" borderId="11" xfId="1" applyNumberFormat="1" applyFont="1" applyBorder="1" applyAlignment="1" applyProtection="1">
      <alignment horizontal="center" vertical="center" wrapText="1"/>
      <protection locked="0"/>
    </xf>
    <xf numFmtId="166" fontId="6" fillId="0" borderId="3" xfId="1" applyNumberFormat="1" applyFont="1" applyBorder="1" applyAlignment="1" applyProtection="1">
      <alignment horizontal="center" vertical="center" wrapText="1"/>
      <protection locked="0"/>
    </xf>
    <xf numFmtId="166" fontId="6" fillId="0" borderId="4" xfId="1" applyNumberFormat="1" applyFont="1" applyBorder="1" applyAlignment="1" applyProtection="1">
      <alignment horizontal="center" vertical="center" wrapText="1"/>
      <protection locked="0"/>
    </xf>
    <xf numFmtId="166" fontId="6" fillId="0" borderId="5" xfId="1" applyNumberFormat="1" applyFont="1" applyBorder="1" applyAlignment="1" applyProtection="1">
      <alignment horizontal="center" vertical="center" wrapText="1"/>
      <protection locked="0"/>
    </xf>
    <xf numFmtId="167" fontId="5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vertical="center" wrapText="1"/>
      <protection locked="0"/>
    </xf>
    <xf numFmtId="0" fontId="5" fillId="0" borderId="9" xfId="1" applyFont="1" applyBorder="1" applyAlignment="1" applyProtection="1">
      <alignment horizontal="center" vertical="center" wrapText="1"/>
      <protection locked="0"/>
    </xf>
    <xf numFmtId="168" fontId="5" fillId="0" borderId="1" xfId="2" applyNumberFormat="1" applyFont="1" applyBorder="1" applyAlignment="1" applyProtection="1">
      <alignment horizontal="center" vertical="center" wrapText="1"/>
      <protection locked="0"/>
    </xf>
    <xf numFmtId="168" fontId="5" fillId="0" borderId="2" xfId="2" applyNumberFormat="1" applyFont="1" applyBorder="1" applyAlignment="1" applyProtection="1">
      <alignment horizontal="center" vertical="center" wrapText="1"/>
      <protection locked="0"/>
    </xf>
    <xf numFmtId="168" fontId="5" fillId="0" borderId="8" xfId="2" applyNumberFormat="1" applyFont="1" applyBorder="1" applyAlignment="1" applyProtection="1">
      <alignment horizontal="center" vertical="center" wrapText="1"/>
      <protection locked="0"/>
    </xf>
    <xf numFmtId="166" fontId="6" fillId="0" borderId="6" xfId="1" applyNumberFormat="1" applyFont="1" applyBorder="1" applyAlignment="1" applyProtection="1">
      <alignment horizontal="center" vertical="center" wrapText="1"/>
      <protection locked="0"/>
    </xf>
    <xf numFmtId="166" fontId="6" fillId="0" borderId="0" xfId="1" applyNumberFormat="1" applyFont="1" applyAlignment="1" applyProtection="1">
      <alignment horizontal="center" vertical="center" wrapText="1"/>
      <protection locked="0"/>
    </xf>
    <xf numFmtId="166" fontId="6" fillId="0" borderId="10" xfId="1" applyNumberFormat="1" applyFont="1" applyBorder="1" applyAlignment="1" applyProtection="1">
      <alignment horizontal="center" vertical="center" wrapText="1"/>
      <protection locked="0"/>
    </xf>
    <xf numFmtId="3" fontId="5" fillId="4" borderId="9" xfId="1" applyNumberFormat="1" applyFont="1" applyFill="1" applyBorder="1" applyAlignment="1" applyProtection="1">
      <alignment horizontal="left" vertical="center" wrapText="1"/>
      <protection locked="0"/>
    </xf>
    <xf numFmtId="169" fontId="5" fillId="4" borderId="1" xfId="1" applyNumberFormat="1" applyFont="1" applyFill="1" applyBorder="1" applyAlignment="1" applyProtection="1">
      <alignment horizontal="center" vertical="center" wrapText="1"/>
      <protection locked="0"/>
    </xf>
    <xf numFmtId="1" fontId="1" fillId="0" borderId="0" xfId="1" applyNumberFormat="1" applyAlignment="1" applyProtection="1">
      <alignment vertical="center" wrapText="1"/>
      <protection locked="0"/>
    </xf>
    <xf numFmtId="0" fontId="1" fillId="0" borderId="12" xfId="1" applyBorder="1" applyAlignment="1" applyProtection="1">
      <alignment vertical="center" wrapText="1"/>
      <protection locked="0"/>
    </xf>
    <xf numFmtId="15" fontId="9" fillId="0" borderId="13" xfId="1" applyNumberFormat="1" applyFont="1" applyBorder="1" applyAlignment="1" applyProtection="1">
      <alignment vertical="center" wrapText="1"/>
      <protection locked="0"/>
    </xf>
    <xf numFmtId="1" fontId="5" fillId="0" borderId="1" xfId="1" applyNumberFormat="1" applyFont="1" applyBorder="1" applyAlignment="1">
      <alignment horizontal="center" vertical="center" wrapText="1"/>
    </xf>
    <xf numFmtId="1" fontId="5" fillId="0" borderId="2" xfId="1" applyNumberFormat="1" applyFont="1" applyBorder="1" applyAlignment="1">
      <alignment horizontal="center" vertical="center" wrapText="1"/>
    </xf>
    <xf numFmtId="1" fontId="5" fillId="0" borderId="8" xfId="1" applyNumberFormat="1" applyFont="1" applyBorder="1" applyAlignment="1">
      <alignment horizontal="center" vertical="center" wrapText="1"/>
    </xf>
    <xf numFmtId="166" fontId="6" fillId="0" borderId="12" xfId="1" applyNumberFormat="1" applyFont="1" applyBorder="1" applyAlignment="1" applyProtection="1">
      <alignment horizontal="center" vertical="center" wrapText="1"/>
      <protection locked="0"/>
    </xf>
    <xf numFmtId="166" fontId="6" fillId="0" borderId="14" xfId="1" applyNumberFormat="1" applyFont="1" applyBorder="1" applyAlignment="1" applyProtection="1">
      <alignment horizontal="center" vertical="center" wrapText="1"/>
      <protection locked="0"/>
    </xf>
    <xf numFmtId="166" fontId="6" fillId="0" borderId="15" xfId="1" applyNumberFormat="1" applyFont="1" applyBorder="1" applyAlignment="1" applyProtection="1">
      <alignment horizontal="center" vertical="center" wrapText="1"/>
      <protection locked="0"/>
    </xf>
    <xf numFmtId="169" fontId="5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2" fillId="3" borderId="12" xfId="1" applyFont="1" applyFill="1" applyBorder="1" applyAlignment="1" applyProtection="1">
      <alignment horizontal="center" vertical="center" wrapText="1"/>
      <protection locked="0"/>
    </xf>
    <xf numFmtId="0" fontId="2" fillId="3" borderId="14" xfId="1" applyFont="1" applyFill="1" applyBorder="1" applyAlignment="1" applyProtection="1">
      <alignment horizontal="center" vertical="center" wrapText="1"/>
      <protection locked="0"/>
    </xf>
    <xf numFmtId="0" fontId="2" fillId="3" borderId="15" xfId="1" applyFont="1" applyFill="1" applyBorder="1" applyAlignment="1" applyProtection="1">
      <alignment horizontal="center" vertical="center" wrapText="1"/>
      <protection locked="0"/>
    </xf>
    <xf numFmtId="0" fontId="5" fillId="4" borderId="7" xfId="1" applyFont="1" applyFill="1" applyBorder="1" applyAlignment="1" applyProtection="1">
      <alignment horizontal="center" vertical="center" wrapText="1"/>
      <protection locked="0"/>
    </xf>
    <xf numFmtId="0" fontId="5" fillId="4" borderId="7" xfId="3" applyFont="1" applyFill="1" applyBorder="1" applyAlignment="1" applyProtection="1">
      <alignment horizontal="center" vertical="center" wrapText="1"/>
      <protection locked="0"/>
    </xf>
    <xf numFmtId="0" fontId="5" fillId="4" borderId="9" xfId="1" applyFont="1" applyFill="1" applyBorder="1" applyAlignment="1" applyProtection="1">
      <alignment horizontal="center" vertical="center" wrapText="1"/>
      <protection locked="0"/>
    </xf>
    <xf numFmtId="0" fontId="5" fillId="4" borderId="3" xfId="1" applyFont="1" applyFill="1" applyBorder="1" applyAlignment="1" applyProtection="1">
      <alignment horizontal="center" vertical="center" wrapText="1"/>
      <protection locked="0"/>
    </xf>
    <xf numFmtId="0" fontId="5" fillId="4" borderId="4" xfId="1" applyFont="1" applyFill="1" applyBorder="1" applyAlignment="1" applyProtection="1">
      <alignment horizontal="center" vertical="center" wrapText="1"/>
      <protection locked="0"/>
    </xf>
    <xf numFmtId="0" fontId="5" fillId="4" borderId="5" xfId="1" applyFont="1" applyFill="1" applyBorder="1" applyAlignment="1" applyProtection="1">
      <alignment horizontal="center" vertical="center" wrapText="1"/>
      <protection locked="0"/>
    </xf>
    <xf numFmtId="0" fontId="5" fillId="4" borderId="7" xfId="2" applyFont="1" applyFill="1" applyBorder="1" applyAlignment="1" applyProtection="1">
      <alignment horizontal="center" vertical="center" wrapText="1"/>
      <protection locked="0"/>
    </xf>
    <xf numFmtId="0" fontId="5" fillId="4" borderId="1" xfId="1" applyFont="1" applyFill="1" applyBorder="1" applyAlignment="1" applyProtection="1">
      <alignment horizontal="center" vertical="center" wrapText="1"/>
      <protection locked="0"/>
    </xf>
    <xf numFmtId="0" fontId="5" fillId="4" borderId="9" xfId="4" applyFont="1" applyFill="1" applyBorder="1" applyAlignment="1" applyProtection="1">
      <alignment horizontal="center" vertical="center" wrapText="1"/>
      <protection locked="0"/>
    </xf>
    <xf numFmtId="1" fontId="5" fillId="4" borderId="7" xfId="1" applyNumberFormat="1" applyFont="1" applyFill="1" applyBorder="1" applyAlignment="1" applyProtection="1">
      <alignment horizontal="center" vertical="center" wrapText="1"/>
      <protection locked="0"/>
    </xf>
    <xf numFmtId="0" fontId="5" fillId="4" borderId="11" xfId="1" applyFont="1" applyFill="1" applyBorder="1" applyAlignment="1" applyProtection="1">
      <alignment horizontal="center" vertical="center" wrapText="1"/>
      <protection locked="0"/>
    </xf>
    <xf numFmtId="0" fontId="5" fillId="4" borderId="11" xfId="3" applyFont="1" applyFill="1" applyBorder="1" applyAlignment="1" applyProtection="1">
      <alignment horizontal="center" vertical="center" wrapText="1"/>
      <protection locked="0"/>
    </xf>
    <xf numFmtId="0" fontId="5" fillId="4" borderId="6" xfId="1" applyFont="1" applyFill="1" applyBorder="1" applyAlignment="1" applyProtection="1">
      <alignment horizontal="center" vertical="center" wrapText="1"/>
      <protection locked="0"/>
    </xf>
    <xf numFmtId="0" fontId="5" fillId="4" borderId="0" xfId="1" applyFont="1" applyFill="1" applyAlignment="1" applyProtection="1">
      <alignment horizontal="center" vertical="center" wrapText="1"/>
      <protection locked="0"/>
    </xf>
    <xf numFmtId="0" fontId="5" fillId="4" borderId="10" xfId="1" applyFont="1" applyFill="1" applyBorder="1" applyAlignment="1" applyProtection="1">
      <alignment horizontal="center" vertical="center" wrapText="1"/>
      <protection locked="0"/>
    </xf>
    <xf numFmtId="0" fontId="5" fillId="4" borderId="11" xfId="2" applyFont="1" applyFill="1" applyBorder="1" applyAlignment="1" applyProtection="1">
      <alignment horizontal="center" vertical="center" wrapText="1"/>
      <protection locked="0"/>
    </xf>
    <xf numFmtId="1" fontId="5" fillId="4" borderId="11" xfId="1" applyNumberFormat="1" applyFont="1" applyFill="1" applyBorder="1" applyAlignment="1" applyProtection="1">
      <alignment horizontal="center" vertical="center" wrapText="1"/>
      <protection locked="0"/>
    </xf>
    <xf numFmtId="0" fontId="5" fillId="4" borderId="12" xfId="1" applyFont="1" applyFill="1" applyBorder="1" applyAlignment="1" applyProtection="1">
      <alignment horizontal="center" vertical="center" wrapText="1"/>
      <protection locked="0"/>
    </xf>
    <xf numFmtId="1" fontId="5" fillId="4" borderId="13" xfId="1" applyNumberFormat="1" applyFont="1" applyFill="1" applyBorder="1" applyAlignment="1" applyProtection="1">
      <alignment horizontal="center" vertical="center" wrapText="1"/>
      <protection locked="0"/>
    </xf>
    <xf numFmtId="0" fontId="5" fillId="4" borderId="13" xfId="1" applyFont="1" applyFill="1" applyBorder="1" applyAlignment="1" applyProtection="1">
      <alignment horizontal="center" vertical="center" wrapText="1"/>
      <protection locked="0"/>
    </xf>
    <xf numFmtId="0" fontId="5" fillId="4" borderId="13" xfId="3" applyFont="1" applyFill="1" applyBorder="1" applyAlignment="1" applyProtection="1">
      <alignment horizontal="center" vertical="center" wrapText="1"/>
      <protection locked="0"/>
    </xf>
    <xf numFmtId="1" fontId="5" fillId="4" borderId="9" xfId="1" applyNumberFormat="1" applyFont="1" applyFill="1" applyBorder="1" applyAlignment="1" applyProtection="1">
      <alignment horizontal="center" vertical="center" wrapText="1"/>
      <protection locked="0"/>
    </xf>
    <xf numFmtId="0" fontId="5" fillId="4" borderId="9" xfId="1" applyFont="1" applyFill="1" applyBorder="1" applyAlignment="1" applyProtection="1">
      <alignment horizontal="center" vertical="center" wrapText="1"/>
      <protection locked="0"/>
    </xf>
    <xf numFmtId="2" fontId="5" fillId="4" borderId="7" xfId="1" applyNumberFormat="1" applyFont="1" applyFill="1" applyBorder="1" applyAlignment="1" applyProtection="1">
      <alignment horizontal="center" vertical="center" wrapText="1"/>
      <protection locked="0"/>
    </xf>
    <xf numFmtId="0" fontId="5" fillId="4" borderId="7" xfId="1" applyFont="1" applyFill="1" applyBorder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11" fillId="3" borderId="7" xfId="1" applyFont="1" applyFill="1" applyBorder="1" applyAlignment="1">
      <alignment horizontal="center" vertical="center" wrapText="1"/>
    </xf>
    <xf numFmtId="0" fontId="11" fillId="4" borderId="7" xfId="2" applyFont="1" applyFill="1" applyBorder="1" applyAlignment="1">
      <alignment horizontal="center" vertical="center" wrapText="1"/>
    </xf>
    <xf numFmtId="0" fontId="13" fillId="0" borderId="9" xfId="5" applyFont="1" applyBorder="1" applyAlignment="1" applyProtection="1">
      <alignment vertical="center" wrapText="1"/>
    </xf>
    <xf numFmtId="0" fontId="13" fillId="0" borderId="7" xfId="6" applyFont="1" applyBorder="1" applyAlignment="1">
      <alignment horizontal="center" vertical="center"/>
    </xf>
    <xf numFmtId="1" fontId="15" fillId="0" borderId="9" xfId="7" applyNumberFormat="1" applyFont="1" applyBorder="1" applyAlignment="1">
      <alignment horizontal="center" vertical="center"/>
    </xf>
    <xf numFmtId="1" fontId="13" fillId="0" borderId="7" xfId="5" applyNumberFormat="1" applyFont="1" applyBorder="1" applyAlignment="1" applyProtection="1">
      <alignment horizontal="center" vertical="center"/>
    </xf>
    <xf numFmtId="2" fontId="13" fillId="0" borderId="9" xfId="5" applyNumberFormat="1" applyFont="1" applyBorder="1" applyAlignment="1" applyProtection="1">
      <alignment horizontal="center" vertical="center"/>
    </xf>
    <xf numFmtId="2" fontId="16" fillId="0" borderId="9" xfId="5" applyNumberFormat="1" applyFont="1" applyBorder="1" applyAlignment="1" applyProtection="1">
      <alignment horizontal="center" vertical="center"/>
    </xf>
    <xf numFmtId="1" fontId="16" fillId="3" borderId="9" xfId="5" applyNumberFormat="1" applyFont="1" applyFill="1" applyBorder="1" applyAlignment="1" applyProtection="1">
      <alignment horizontal="center" vertical="center"/>
    </xf>
    <xf numFmtId="2" fontId="16" fillId="0" borderId="7" xfId="5" applyNumberFormat="1" applyFont="1" applyBorder="1" applyAlignment="1" applyProtection="1">
      <alignment horizontal="center" vertical="center"/>
    </xf>
    <xf numFmtId="1" fontId="17" fillId="0" borderId="7" xfId="1" applyNumberFormat="1" applyFont="1" applyBorder="1" applyAlignment="1" applyProtection="1">
      <alignment horizontal="center" vertical="center" wrapText="1"/>
      <protection locked="0"/>
    </xf>
    <xf numFmtId="1" fontId="11" fillId="0" borderId="9" xfId="1" applyNumberFormat="1" applyFont="1" applyBorder="1" applyAlignment="1" applyProtection="1">
      <alignment horizontal="center" vertical="center" wrapText="1"/>
      <protection locked="0"/>
    </xf>
    <xf numFmtId="170" fontId="18" fillId="3" borderId="0" xfId="1" applyNumberFormat="1" applyFont="1" applyFill="1" applyAlignment="1" applyProtection="1">
      <alignment vertical="center" wrapText="1"/>
      <protection locked="0"/>
    </xf>
    <xf numFmtId="171" fontId="18" fillId="3" borderId="0" xfId="1" applyNumberFormat="1" applyFont="1" applyFill="1" applyAlignment="1" applyProtection="1">
      <alignment vertical="center" wrapText="1"/>
      <protection locked="0"/>
    </xf>
    <xf numFmtId="1" fontId="17" fillId="0" borderId="11" xfId="1" applyNumberFormat="1" applyFont="1" applyBorder="1" applyAlignment="1" applyProtection="1">
      <alignment horizontal="center" vertical="center" wrapText="1"/>
      <protection locked="0"/>
    </xf>
    <xf numFmtId="0" fontId="11" fillId="3" borderId="9" xfId="1" applyFont="1" applyFill="1" applyBorder="1" applyAlignment="1">
      <alignment horizontal="center" vertical="center" wrapText="1"/>
    </xf>
    <xf numFmtId="0" fontId="11" fillId="4" borderId="9" xfId="2" applyFont="1" applyFill="1" applyBorder="1" applyAlignment="1">
      <alignment horizontal="center" vertical="center" wrapText="1"/>
    </xf>
    <xf numFmtId="0" fontId="13" fillId="0" borderId="9" xfId="6" applyFont="1" applyBorder="1" applyAlignment="1">
      <alignment horizontal="center" vertical="center"/>
    </xf>
    <xf numFmtId="2" fontId="13" fillId="0" borderId="9" xfId="8" applyNumberFormat="1" applyFont="1" applyFill="1" applyBorder="1" applyAlignment="1">
      <alignment horizontal="center" vertical="center"/>
    </xf>
    <xf numFmtId="0" fontId="13" fillId="0" borderId="7" xfId="5" applyFont="1" applyBorder="1" applyAlignment="1" applyProtection="1">
      <alignment horizontal="center" vertical="center"/>
    </xf>
    <xf numFmtId="0" fontId="13" fillId="0" borderId="9" xfId="5" applyFont="1" applyBorder="1" applyAlignment="1" applyProtection="1">
      <alignment horizontal="center" vertical="center"/>
    </xf>
    <xf numFmtId="0" fontId="11" fillId="3" borderId="13" xfId="1" applyFont="1" applyFill="1" applyBorder="1" applyAlignment="1">
      <alignment horizontal="center" vertical="center" wrapText="1"/>
    </xf>
    <xf numFmtId="1" fontId="19" fillId="5" borderId="9" xfId="5" applyNumberFormat="1" applyFont="1" applyFill="1" applyBorder="1" applyAlignment="1" applyProtection="1">
      <alignment horizontal="center" vertical="center"/>
    </xf>
    <xf numFmtId="2" fontId="13" fillId="0" borderId="7" xfId="5" applyNumberFormat="1" applyFont="1" applyBorder="1" applyAlignment="1" applyProtection="1">
      <alignment horizontal="center" vertical="center"/>
    </xf>
    <xf numFmtId="1" fontId="16" fillId="3" borderId="7" xfId="5" applyNumberFormat="1" applyFont="1" applyFill="1" applyBorder="1" applyAlignment="1" applyProtection="1">
      <alignment horizontal="center" vertical="center"/>
    </xf>
    <xf numFmtId="1" fontId="11" fillId="0" borderId="7" xfId="1" applyNumberFormat="1" applyFont="1" applyBorder="1" applyAlignment="1" applyProtection="1">
      <alignment horizontal="center" vertical="center" wrapText="1"/>
      <protection locked="0"/>
    </xf>
    <xf numFmtId="0" fontId="20" fillId="0" borderId="9" xfId="2" applyFont="1" applyBorder="1" applyAlignment="1" applyProtection="1">
      <alignment vertical="center" wrapText="1"/>
      <protection locked="0"/>
    </xf>
    <xf numFmtId="1" fontId="5" fillId="0" borderId="9" xfId="2" applyNumberFormat="1" applyFont="1" applyBorder="1" applyAlignment="1" applyProtection="1">
      <alignment horizontal="center" vertical="center" wrapText="1"/>
      <protection locked="0"/>
    </xf>
    <xf numFmtId="0" fontId="5" fillId="0" borderId="1" xfId="2" applyFont="1" applyBorder="1" applyAlignment="1" applyProtection="1">
      <alignment vertical="center" wrapText="1"/>
      <protection locked="0"/>
    </xf>
    <xf numFmtId="0" fontId="5" fillId="0" borderId="2" xfId="2" applyFont="1" applyBorder="1" applyAlignment="1" applyProtection="1">
      <alignment vertical="center" wrapText="1"/>
      <protection locked="0"/>
    </xf>
    <xf numFmtId="2" fontId="5" fillId="0" borderId="9" xfId="2" applyNumberFormat="1" applyFont="1" applyBorder="1" applyAlignment="1" applyProtection="1">
      <alignment horizontal="center" vertical="center" wrapText="1"/>
      <protection locked="0"/>
    </xf>
    <xf numFmtId="2" fontId="5" fillId="4" borderId="9" xfId="2" applyNumberFormat="1" applyFont="1" applyFill="1" applyBorder="1" applyAlignment="1" applyProtection="1">
      <alignment horizontal="center" vertical="center" wrapText="1"/>
      <protection locked="0"/>
    </xf>
    <xf numFmtId="1" fontId="5" fillId="4" borderId="9" xfId="2" applyNumberFormat="1" applyFont="1" applyFill="1" applyBorder="1" applyAlignment="1" applyProtection="1">
      <alignment horizontal="center" vertical="center" wrapText="1"/>
      <protection locked="0"/>
    </xf>
    <xf numFmtId="1" fontId="5" fillId="4" borderId="9" xfId="4" applyNumberFormat="1" applyFont="1" applyFill="1" applyBorder="1" applyAlignment="1" applyProtection="1">
      <alignment horizontal="center" vertical="center" wrapText="1"/>
      <protection locked="0"/>
    </xf>
    <xf numFmtId="0" fontId="5" fillId="4" borderId="9" xfId="2" applyFont="1" applyFill="1" applyBorder="1" applyAlignment="1" applyProtection="1">
      <alignment vertical="center" wrapText="1"/>
      <protection locked="0"/>
    </xf>
    <xf numFmtId="170" fontId="18" fillId="0" borderId="0" xfId="1" applyNumberFormat="1" applyFont="1" applyAlignment="1" applyProtection="1">
      <alignment vertical="center" wrapText="1"/>
      <protection locked="0"/>
    </xf>
    <xf numFmtId="0" fontId="1" fillId="0" borderId="0" xfId="1"/>
    <xf numFmtId="166" fontId="1" fillId="4" borderId="0" xfId="1" applyNumberFormat="1" applyFill="1" applyAlignment="1" applyProtection="1">
      <alignment vertical="center" wrapText="1"/>
      <protection locked="0"/>
    </xf>
    <xf numFmtId="0" fontId="1" fillId="3" borderId="0" xfId="1" applyFill="1"/>
    <xf numFmtId="2" fontId="1" fillId="0" borderId="0" xfId="1" applyNumberFormat="1" applyAlignment="1" applyProtection="1">
      <alignment vertical="center" wrapText="1"/>
      <protection locked="0"/>
    </xf>
    <xf numFmtId="0" fontId="15" fillId="0" borderId="1" xfId="9" applyFont="1" applyBorder="1" applyAlignment="1">
      <alignment horizontal="left" vertical="center"/>
    </xf>
    <xf numFmtId="0" fontId="15" fillId="0" borderId="2" xfId="9" applyFont="1" applyBorder="1" applyAlignment="1">
      <alignment horizontal="left" vertical="center"/>
    </xf>
    <xf numFmtId="0" fontId="15" fillId="0" borderId="8" xfId="9" applyFont="1" applyBorder="1" applyAlignment="1">
      <alignment horizontal="left" vertical="center"/>
    </xf>
    <xf numFmtId="2" fontId="21" fillId="0" borderId="9" xfId="9" applyNumberFormat="1" applyFont="1" applyBorder="1" applyAlignment="1">
      <alignment vertical="center"/>
    </xf>
    <xf numFmtId="1" fontId="21" fillId="0" borderId="9" xfId="9" applyNumberFormat="1" applyFont="1" applyBorder="1" applyAlignment="1">
      <alignment vertical="center"/>
    </xf>
    <xf numFmtId="0" fontId="15" fillId="0" borderId="9" xfId="9" applyFont="1" applyBorder="1" applyAlignment="1">
      <alignment vertical="center"/>
    </xf>
    <xf numFmtId="0" fontId="1" fillId="0" borderId="9" xfId="1" applyBorder="1" applyAlignment="1" applyProtection="1">
      <alignment horizontal="left" vertical="center" wrapText="1"/>
      <protection locked="0"/>
    </xf>
    <xf numFmtId="3" fontId="21" fillId="0" borderId="9" xfId="9" applyNumberFormat="1" applyFont="1" applyBorder="1" applyAlignment="1">
      <alignment vertical="center"/>
    </xf>
    <xf numFmtId="1" fontId="22" fillId="6" borderId="9" xfId="1" applyNumberFormat="1" applyFont="1" applyFill="1" applyBorder="1" applyAlignment="1" applyProtection="1">
      <alignment vertical="center" wrapText="1"/>
      <protection locked="0"/>
    </xf>
    <xf numFmtId="0" fontId="15" fillId="6" borderId="1" xfId="9" applyFont="1" applyFill="1" applyBorder="1" applyAlignment="1">
      <alignment horizontal="left" vertical="center"/>
    </xf>
    <xf numFmtId="0" fontId="15" fillId="6" borderId="8" xfId="9" applyFont="1" applyFill="1" applyBorder="1" applyAlignment="1">
      <alignment horizontal="left" vertical="center"/>
    </xf>
  </cellXfs>
  <cellStyles count="10">
    <cellStyle name="Comma [0] 2" xfId="8" xr:uid="{FB1D07BB-6573-48C3-BC55-CFB726BF2EA7}"/>
    <cellStyle name="Normal" xfId="0" builtinId="0"/>
    <cellStyle name="Normal 2" xfId="7" xr:uid="{0EEA91D5-6AF9-433D-BA7A-9D7D135DFB5D}"/>
    <cellStyle name="Normal 2 2" xfId="5" xr:uid="{78B50C6D-2F91-424B-89A9-371FA2267448}"/>
    <cellStyle name="Normal 3" xfId="6" xr:uid="{EB356BA5-7BA5-45FA-8D45-78FDC03DF681}"/>
    <cellStyle name="Normal 4" xfId="1" xr:uid="{2BBC63FF-82A6-45EE-B221-CE8B12800375}"/>
    <cellStyle name="Normal 4 3" xfId="3" xr:uid="{146461C9-495A-40D8-8D42-BC700C5320E5}"/>
    <cellStyle name="Normal 5" xfId="2" xr:uid="{72EEEF0E-EB24-40F8-97AC-3FF240FE2641}"/>
    <cellStyle name="Normal 7" xfId="4" xr:uid="{A34DB593-AA91-4502-9D70-7B2B060DB67B}"/>
    <cellStyle name="Normal_S#NGJ 10500 FACTORY 1" xfId="9" xr:uid="{16A7CEF6-877C-4010-A661-B261F5ED7D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Yamazumi</a:t>
            </a:r>
            <a:r>
              <a:rPr lang="en-US" baseline="0"/>
              <a:t> Chart Before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8758697149165808E-2"/>
          <c:y val="0.13288650318648101"/>
          <c:w val="0.96101273367029993"/>
          <c:h val="0.7119400283088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'LB Livlig'!$P$7:$P$9</c:f>
              <c:strCache>
                <c:ptCount val="3"/>
                <c:pt idx="0">
                  <c:v>Output / Hours</c:v>
                </c:pt>
              </c:strCache>
            </c:strRef>
          </c:tx>
          <c:spPr>
            <a:solidFill>
              <a:srgbClr val="00CC00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'LB Livlig'!$B$11:$B$74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'LB Livlig'!$P$11:$P$31</c:f>
              <c:numCache>
                <c:formatCode>0</c:formatCode>
                <c:ptCount val="21"/>
                <c:pt idx="0">
                  <c:v>111.6284838681337</c:v>
                </c:pt>
                <c:pt idx="1">
                  <c:v>125.41806020066892</c:v>
                </c:pt>
                <c:pt idx="2">
                  <c:v>92.918812187850875</c:v>
                </c:pt>
                <c:pt idx="3">
                  <c:v>115.69920349668708</c:v>
                </c:pt>
                <c:pt idx="4">
                  <c:v>121.42881235875468</c:v>
                </c:pt>
                <c:pt idx="5">
                  <c:v>89.449512790037971</c:v>
                </c:pt>
                <c:pt idx="6">
                  <c:v>100.56006368804034</c:v>
                </c:pt>
                <c:pt idx="7">
                  <c:v>127.16728974713729</c:v>
                </c:pt>
                <c:pt idx="8">
                  <c:v>123.35878560128843</c:v>
                </c:pt>
                <c:pt idx="9">
                  <c:v>102.65964525389253</c:v>
                </c:pt>
                <c:pt idx="10">
                  <c:v>98.856875838967667</c:v>
                </c:pt>
                <c:pt idx="11">
                  <c:v>101.76966133318255</c:v>
                </c:pt>
                <c:pt idx="12">
                  <c:v>138.12772978123385</c:v>
                </c:pt>
                <c:pt idx="13">
                  <c:v>122.2030494186869</c:v>
                </c:pt>
                <c:pt idx="14">
                  <c:v>118.57707509881423</c:v>
                </c:pt>
                <c:pt idx="15">
                  <c:v>117.28867675566489</c:v>
                </c:pt>
                <c:pt idx="16">
                  <c:v>120.03200853560949</c:v>
                </c:pt>
                <c:pt idx="17">
                  <c:v>104.96595895636624</c:v>
                </c:pt>
                <c:pt idx="18">
                  <c:v>110.17485156999163</c:v>
                </c:pt>
                <c:pt idx="19">
                  <c:v>102.80573998714928</c:v>
                </c:pt>
                <c:pt idx="20">
                  <c:v>112.86268895356433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9-4C54-94E7-591750A43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03932672"/>
        <c:axId val="103934208"/>
      </c:barChart>
      <c:lineChart>
        <c:grouping val="standard"/>
        <c:varyColors val="0"/>
        <c:ser>
          <c:idx val="1"/>
          <c:order val="1"/>
          <c:tx>
            <c:v>Takt Time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'LB Livlig'!$U$11:$U$31</c:f>
              <c:numCache>
                <c:formatCode>0\ "pcs"</c:formatCode>
                <c:ptCount val="21"/>
                <c:pt idx="0">
                  <c:v>93</c:v>
                </c:pt>
                <c:pt idx="1">
                  <c:v>93</c:v>
                </c:pt>
                <c:pt idx="2">
                  <c:v>93</c:v>
                </c:pt>
                <c:pt idx="3">
                  <c:v>93</c:v>
                </c:pt>
                <c:pt idx="4">
                  <c:v>93</c:v>
                </c:pt>
                <c:pt idx="5">
                  <c:v>93</c:v>
                </c:pt>
                <c:pt idx="6">
                  <c:v>93</c:v>
                </c:pt>
                <c:pt idx="7">
                  <c:v>93</c:v>
                </c:pt>
                <c:pt idx="8">
                  <c:v>93</c:v>
                </c:pt>
                <c:pt idx="9">
                  <c:v>93</c:v>
                </c:pt>
                <c:pt idx="10">
                  <c:v>93</c:v>
                </c:pt>
                <c:pt idx="11">
                  <c:v>93</c:v>
                </c:pt>
                <c:pt idx="12">
                  <c:v>93</c:v>
                </c:pt>
                <c:pt idx="13">
                  <c:v>93</c:v>
                </c:pt>
                <c:pt idx="14">
                  <c:v>93</c:v>
                </c:pt>
                <c:pt idx="15">
                  <c:v>93</c:v>
                </c:pt>
                <c:pt idx="16">
                  <c:v>93</c:v>
                </c:pt>
                <c:pt idx="17">
                  <c:v>93</c:v>
                </c:pt>
                <c:pt idx="18">
                  <c:v>93</c:v>
                </c:pt>
                <c:pt idx="19">
                  <c:v>93</c:v>
                </c:pt>
                <c:pt idx="20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D9-4C54-94E7-591750A43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32672"/>
        <c:axId val="103934208"/>
      </c:lineChart>
      <c:catAx>
        <c:axId val="10393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0393420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3934208"/>
        <c:scaling>
          <c:orientation val="minMax"/>
          <c:max val="250"/>
          <c:min val="0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3932672"/>
        <c:crosses val="autoZero"/>
        <c:crossBetween val="between"/>
        <c:majorUnit val="20"/>
        <c:minorUnit val="0.5"/>
      </c:valAx>
    </c:plotArea>
    <c:legend>
      <c:legendPos val="r"/>
      <c:layout>
        <c:manualLayout>
          <c:xMode val="edge"/>
          <c:yMode val="edge"/>
          <c:x val="0.44577656675749344"/>
          <c:y val="0.92873780432618414"/>
          <c:w val="0.10844686648501368"/>
          <c:h val="5.0574712643678188E-2"/>
        </c:manualLayout>
      </c:layout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69272</xdr:colOff>
      <xdr:row>2</xdr:row>
      <xdr:rowOff>343626</xdr:rowOff>
    </xdr:from>
    <xdr:to>
      <xdr:col>2</xdr:col>
      <xdr:colOff>821747</xdr:colOff>
      <xdr:row>4</xdr:row>
      <xdr:rowOff>108625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EE8CBB-F396-4C17-ACAB-38C42F2AB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6165" y="833483"/>
          <a:ext cx="1147082" cy="703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90054</xdr:colOff>
      <xdr:row>45</xdr:row>
      <xdr:rowOff>153265</xdr:rowOff>
    </xdr:from>
    <xdr:to>
      <xdr:col>20</xdr:col>
      <xdr:colOff>57150</xdr:colOff>
      <xdr:row>67</xdr:row>
      <xdr:rowOff>105640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2F04C4-E05F-4B35-AC91-3EC3D9DB9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81644</xdr:colOff>
      <xdr:row>1</xdr:row>
      <xdr:rowOff>68036</xdr:rowOff>
    </xdr:from>
    <xdr:to>
      <xdr:col>19</xdr:col>
      <xdr:colOff>1430084</xdr:colOff>
      <xdr:row>5</xdr:row>
      <xdr:rowOff>176893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FAAB36-1783-42CD-A99B-0E7772AFE2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286" b="12112"/>
        <a:stretch/>
      </xdr:blipFill>
      <xdr:spPr>
        <a:xfrm>
          <a:off x="16407494" y="258536"/>
          <a:ext cx="2253315" cy="1613807"/>
        </a:xfrm>
        <a:prstGeom prst="rect">
          <a:avLst/>
        </a:prstGeom>
      </xdr:spPr>
    </xdr:pic>
    <xdr:clientData/>
  </xdr:twoCellAnchor>
  <xdr:twoCellAnchor>
    <xdr:from>
      <xdr:col>3</xdr:col>
      <xdr:colOff>3687536</xdr:colOff>
      <xdr:row>56</xdr:row>
      <xdr:rowOff>40821</xdr:rowOff>
    </xdr:from>
    <xdr:to>
      <xdr:col>3</xdr:col>
      <xdr:colOff>4471308</xdr:colOff>
      <xdr:row>60</xdr:row>
      <xdr:rowOff>6184</xdr:rowOff>
    </xdr:to>
    <xdr:sp macro="" textlink="">
      <xdr:nvSpPr>
        <xdr:cNvPr id="5" name="Explosion 1 4">
          <a:extLst>
            <a:ext uri="{FF2B5EF4-FFF2-40B4-BE49-F238E27FC236}">
              <a16:creationId xmlns:a16="http://schemas.microsoft.com/office/drawing/2014/main" id="{1825DB78-CF7A-46D0-91B6-2BBD90F78872}"/>
            </a:ext>
          </a:extLst>
        </xdr:cNvPr>
        <xdr:cNvSpPr/>
      </xdr:nvSpPr>
      <xdr:spPr>
        <a:xfrm>
          <a:off x="5097236" y="16128546"/>
          <a:ext cx="783772" cy="727363"/>
        </a:xfrm>
        <a:prstGeom prst="irregularSeal1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1145721</xdr:colOff>
      <xdr:row>56</xdr:row>
      <xdr:rowOff>2721</xdr:rowOff>
    </xdr:from>
    <xdr:to>
      <xdr:col>3</xdr:col>
      <xdr:colOff>1929493</xdr:colOff>
      <xdr:row>59</xdr:row>
      <xdr:rowOff>158584</xdr:rowOff>
    </xdr:to>
    <xdr:sp macro="" textlink="">
      <xdr:nvSpPr>
        <xdr:cNvPr id="6" name="Explosion 1 5">
          <a:extLst>
            <a:ext uri="{FF2B5EF4-FFF2-40B4-BE49-F238E27FC236}">
              <a16:creationId xmlns:a16="http://schemas.microsoft.com/office/drawing/2014/main" id="{18B776B0-9930-4F60-A5BA-A1DCAB5EB21C}"/>
            </a:ext>
          </a:extLst>
        </xdr:cNvPr>
        <xdr:cNvSpPr/>
      </xdr:nvSpPr>
      <xdr:spPr>
        <a:xfrm>
          <a:off x="2555421" y="16090446"/>
          <a:ext cx="783772" cy="727363"/>
        </a:xfrm>
        <a:prstGeom prst="irregularSeal1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L%2025%20wk243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kthfile\cap\CAP-Lean\Production_Analysis\ANALSYS_TE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KNB-LEAN\AppData\Local\Microsoft\Windows\INetCache\Content.Outlook\M8CT8WYZ\05.%20Time%20Plan%20Lean%20Project%20_Revise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ESUL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L FY25"/>
      <sheetName val="List Article"/>
      <sheetName val="Per line"/>
      <sheetName val="wk2434"/>
      <sheetName val="Periode"/>
      <sheetName val="Daily Sew"/>
      <sheetName val="Pvt Daily"/>
      <sheetName val="Pvt Monthly"/>
      <sheetName val="LB.Acorn"/>
      <sheetName val="LB Mushroom"/>
      <sheetName val="LB S.Fox White"/>
      <sheetName val="LB Afton Bunny"/>
      <sheetName val="LB BLahaj 55"/>
      <sheetName val="LB Snutig Pollar"/>
      <sheetName val="LB Snutig 29"/>
      <sheetName val="LB Penguin"/>
      <sheetName val="LB Barndrom"/>
      <sheetName val="LB D.Bear   "/>
      <sheetName val="LB Lynk"/>
      <sheetName val="LB Afton Cat"/>
      <sheetName val="LB Afton Bear"/>
      <sheetName val=" LB Jattestor "/>
      <sheetName val="Skogduva Flower"/>
      <sheetName val="LB Golden 40"/>
      <sheetName val="LB Bear 28"/>
      <sheetName val="LB Golden 70"/>
      <sheetName val="LB Gosig Ratta"/>
      <sheetName val="LB Livlig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7">
          <cell r="P7" t="str">
            <v>Output / Hours</v>
          </cell>
          <cell r="AL7" t="str">
            <v>Output / Hours</v>
          </cell>
        </row>
        <row r="11">
          <cell r="B11">
            <v>1</v>
          </cell>
          <cell r="P11">
            <v>111.6284838681337</v>
          </cell>
          <cell r="U11">
            <v>93</v>
          </cell>
          <cell r="AL11">
            <v>111.6284838681337</v>
          </cell>
          <cell r="AQ11">
            <v>93</v>
          </cell>
        </row>
        <row r="12">
          <cell r="B12">
            <v>2</v>
          </cell>
          <cell r="P12">
            <v>125.41806020066892</v>
          </cell>
          <cell r="U12">
            <v>93</v>
          </cell>
          <cell r="AL12">
            <v>125.41806020066892</v>
          </cell>
          <cell r="AQ12">
            <v>93</v>
          </cell>
        </row>
        <row r="13">
          <cell r="B13">
            <v>3</v>
          </cell>
          <cell r="P13">
            <v>92.918812187850875</v>
          </cell>
          <cell r="U13">
            <v>93</v>
          </cell>
          <cell r="AL13">
            <v>102.59235686941325</v>
          </cell>
          <cell r="AQ13">
            <v>93</v>
          </cell>
        </row>
        <row r="14">
          <cell r="B14">
            <v>4</v>
          </cell>
          <cell r="P14">
            <v>115.69920349668708</v>
          </cell>
          <cell r="U14">
            <v>93</v>
          </cell>
          <cell r="AL14">
            <v>115.69920349668708</v>
          </cell>
          <cell r="AQ14">
            <v>93</v>
          </cell>
        </row>
        <row r="15">
          <cell r="B15">
            <v>5</v>
          </cell>
          <cell r="P15">
            <v>121.42881235875468</v>
          </cell>
          <cell r="U15">
            <v>93</v>
          </cell>
          <cell r="AL15">
            <v>121.42881235875468</v>
          </cell>
          <cell r="AQ15">
            <v>93</v>
          </cell>
        </row>
        <row r="16">
          <cell r="B16">
            <v>6</v>
          </cell>
          <cell r="P16">
            <v>89.449512790037971</v>
          </cell>
          <cell r="U16">
            <v>93</v>
          </cell>
          <cell r="AL16">
            <v>101.40702243630373</v>
          </cell>
          <cell r="AQ16">
            <v>93</v>
          </cell>
        </row>
        <row r="17">
          <cell r="B17">
            <v>7</v>
          </cell>
          <cell r="P17">
            <v>100.56006368804034</v>
          </cell>
          <cell r="U17">
            <v>93</v>
          </cell>
          <cell r="AL17">
            <v>100.56006368804034</v>
          </cell>
          <cell r="AQ17">
            <v>93</v>
          </cell>
        </row>
        <row r="18">
          <cell r="B18">
            <v>8</v>
          </cell>
          <cell r="P18">
            <v>127.16728974713729</v>
          </cell>
          <cell r="U18">
            <v>93</v>
          </cell>
          <cell r="AL18">
            <v>127.16728974713729</v>
          </cell>
          <cell r="AQ18">
            <v>93</v>
          </cell>
        </row>
        <row r="19">
          <cell r="B19">
            <v>9</v>
          </cell>
          <cell r="P19">
            <v>123.35878560128843</v>
          </cell>
          <cell r="U19">
            <v>93</v>
          </cell>
          <cell r="AL19">
            <v>123.35878560128843</v>
          </cell>
          <cell r="AQ19">
            <v>93</v>
          </cell>
        </row>
        <row r="20">
          <cell r="B20">
            <v>10</v>
          </cell>
          <cell r="P20">
            <v>102.65964525389253</v>
          </cell>
          <cell r="U20">
            <v>93</v>
          </cell>
          <cell r="AL20">
            <v>102.65964525389253</v>
          </cell>
          <cell r="AQ20">
            <v>93</v>
          </cell>
        </row>
        <row r="21">
          <cell r="B21">
            <v>11</v>
          </cell>
          <cell r="P21">
            <v>98.856875838967667</v>
          </cell>
          <cell r="U21">
            <v>93</v>
          </cell>
          <cell r="AL21">
            <v>108.09512370886381</v>
          </cell>
          <cell r="AQ21">
            <v>93</v>
          </cell>
        </row>
        <row r="22">
          <cell r="B22">
            <v>12</v>
          </cell>
          <cell r="P22">
            <v>101.76966133318255</v>
          </cell>
          <cell r="U22">
            <v>93</v>
          </cell>
          <cell r="AL22">
            <v>101.76966133318255</v>
          </cell>
          <cell r="AQ22">
            <v>93</v>
          </cell>
        </row>
        <row r="23">
          <cell r="B23">
            <v>13</v>
          </cell>
          <cell r="P23">
            <v>138.12772978123385</v>
          </cell>
          <cell r="U23">
            <v>93</v>
          </cell>
          <cell r="AL23">
            <v>138.12772978123385</v>
          </cell>
          <cell r="AQ23">
            <v>93</v>
          </cell>
        </row>
        <row r="24">
          <cell r="B24">
            <v>14</v>
          </cell>
          <cell r="P24">
            <v>122.2030494186869</v>
          </cell>
          <cell r="U24">
            <v>93</v>
          </cell>
          <cell r="AL24">
            <v>122.2030494186869</v>
          </cell>
          <cell r="AQ24">
            <v>93</v>
          </cell>
        </row>
        <row r="25">
          <cell r="B25">
            <v>15</v>
          </cell>
          <cell r="P25">
            <v>118.57707509881423</v>
          </cell>
          <cell r="U25">
            <v>93</v>
          </cell>
          <cell r="AL25">
            <v>118.57707509881423</v>
          </cell>
          <cell r="AQ25">
            <v>93</v>
          </cell>
        </row>
        <row r="26">
          <cell r="B26">
            <v>16</v>
          </cell>
          <cell r="P26">
            <v>117.28867675566489</v>
          </cell>
          <cell r="U26">
            <v>93</v>
          </cell>
          <cell r="AL26">
            <v>117.28867675566489</v>
          </cell>
          <cell r="AQ26">
            <v>93</v>
          </cell>
        </row>
        <row r="27">
          <cell r="B27">
            <v>17</v>
          </cell>
          <cell r="P27">
            <v>120.03200853560949</v>
          </cell>
          <cell r="U27">
            <v>93</v>
          </cell>
          <cell r="AL27">
            <v>120.03200853560949</v>
          </cell>
          <cell r="AQ27">
            <v>93</v>
          </cell>
        </row>
        <row r="28">
          <cell r="B28">
            <v>18</v>
          </cell>
          <cell r="P28">
            <v>104.96595895636624</v>
          </cell>
          <cell r="U28">
            <v>93</v>
          </cell>
          <cell r="AL28">
            <v>104.96595895636624</v>
          </cell>
          <cell r="AQ28">
            <v>93</v>
          </cell>
        </row>
        <row r="29">
          <cell r="B29">
            <v>19</v>
          </cell>
          <cell r="P29">
            <v>110.17485156999163</v>
          </cell>
          <cell r="U29">
            <v>93</v>
          </cell>
          <cell r="AL29">
            <v>110.17485156999163</v>
          </cell>
          <cell r="AQ29">
            <v>93</v>
          </cell>
        </row>
        <row r="30">
          <cell r="B30">
            <v>20</v>
          </cell>
          <cell r="P30">
            <v>102.80573998714928</v>
          </cell>
          <cell r="U30">
            <v>93</v>
          </cell>
          <cell r="AL30">
            <v>102.80573998714928</v>
          </cell>
          <cell r="AQ30">
            <v>93</v>
          </cell>
        </row>
        <row r="31">
          <cell r="B31">
            <v>21</v>
          </cell>
          <cell r="P31">
            <v>112.86268895356433</v>
          </cell>
          <cell r="U31">
            <v>93</v>
          </cell>
          <cell r="AL31">
            <v>112.86268895356433</v>
          </cell>
          <cell r="AQ31">
            <v>93</v>
          </cell>
        </row>
      </sheetData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DATA BASE"/>
      <sheetName val="Flow Chart"/>
      <sheetName val="STRUCTURE"/>
      <sheetName val="MC"/>
      <sheetName val="DATA_BASE"/>
      <sheetName val="Flow_Chart"/>
      <sheetName val="B1"/>
    </sheetNames>
    <sheetDataSet>
      <sheetData sheetId="0">
        <row r="6">
          <cell r="F6">
            <v>5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us Project"/>
      <sheetName val="Press Packing "/>
      <sheetName val="VSM Cutting"/>
      <sheetName val="VSM Sewing"/>
      <sheetName val="VSM Finishing"/>
      <sheetName val="VSM Long Term"/>
      <sheetName val="Tape White"/>
      <sheetName val="OEE (CNC)"/>
      <sheetName val="OEE (Laser)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Priorities</v>
          </cell>
          <cell r="B1" t="str">
            <v>Status</v>
          </cell>
          <cell r="C1" t="str">
            <v>Notifications</v>
          </cell>
        </row>
        <row r="2">
          <cell r="A2" t="str">
            <v xml:space="preserve"> - </v>
          </cell>
          <cell r="B2" t="str">
            <v xml:space="preserve"> - </v>
          </cell>
          <cell r="C2" t="str">
            <v xml:space="preserve"> - </v>
          </cell>
        </row>
        <row r="3">
          <cell r="A3" t="str">
            <v>high</v>
          </cell>
          <cell r="B3" t="str">
            <v>On Going</v>
          </cell>
          <cell r="C3" t="str">
            <v>SP says: RAR</v>
          </cell>
        </row>
        <row r="4">
          <cell r="A4" t="str">
            <v>med</v>
          </cell>
          <cell r="B4" t="str">
            <v>Delay</v>
          </cell>
          <cell r="C4" t="str">
            <v>SP says: FYI</v>
          </cell>
        </row>
        <row r="5">
          <cell r="A5" t="str">
            <v>low</v>
          </cell>
          <cell r="B5" t="str">
            <v>Pending</v>
          </cell>
          <cell r="C5" t="str">
            <v>SP says: NTD</v>
          </cell>
        </row>
        <row r="6">
          <cell r="A6" t="str">
            <v>done</v>
          </cell>
          <cell r="B6" t="str">
            <v>Completed</v>
          </cell>
          <cell r="C6" t="str">
            <v>C says: RAR</v>
          </cell>
        </row>
        <row r="7">
          <cell r="A7">
            <v>0</v>
          </cell>
          <cell r="B7" t="str">
            <v>Plan</v>
          </cell>
          <cell r="C7" t="str">
            <v>C says: FYI</v>
          </cell>
        </row>
        <row r="8">
          <cell r="A8">
            <v>0</v>
          </cell>
          <cell r="B8">
            <v>0</v>
          </cell>
          <cell r="C8" t="str">
            <v>C says: NTD</v>
          </cell>
        </row>
        <row r="9">
          <cell r="A9">
            <v>0</v>
          </cell>
          <cell r="B9">
            <v>0</v>
          </cell>
          <cell r="C9">
            <v>0</v>
          </cell>
        </row>
        <row r="10">
          <cell r="A10">
            <v>0</v>
          </cell>
          <cell r="B10">
            <v>0</v>
          </cell>
          <cell r="C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T_Saving"/>
      <sheetName val="Monthly_saving"/>
      <sheetName val="progress_final"/>
      <sheetName val="progress_others"/>
      <sheetName val="Sheet1"/>
      <sheetName val="Sheet2"/>
      <sheetName val="Iswara_to_Jaguh"/>
      <sheetName val="Hello Kitty"/>
      <sheetName val="Q_file"/>
      <sheetName val="Maintenance2000 No"/>
      <sheetName val="ActionII"/>
      <sheetName val="Express"/>
      <sheetName val="Minimal fabric surplus (No)"/>
      <sheetName val="Speed_fund"/>
      <sheetName val="Y2K"/>
      <sheetName val="Focus Link"/>
      <sheetName val="Innovator"/>
      <sheetName val="Excess_cost"/>
      <sheetName val="Purchasing (No)"/>
      <sheetName val="Reformation (No)"/>
      <sheetName val="Interlining reduction"/>
      <sheetName val="ISO"/>
      <sheetName val="Clear"/>
      <sheetName val="TIME"/>
      <sheetName val="Hello_Kitty"/>
      <sheetName val="Maintenance2000_No"/>
      <sheetName val="Minimal_fabric_surplus_(No)"/>
      <sheetName val="Focus_Link"/>
      <sheetName val="Purchasing_(No)"/>
      <sheetName val="Reformation_(No)"/>
      <sheetName val="Interlining_reduction"/>
      <sheetName val="Hello_Kitty1"/>
      <sheetName val="Maintenance2000_No1"/>
      <sheetName val="Minimal_fabric_surplus_(No)1"/>
      <sheetName val="Focus_Link1"/>
      <sheetName val="Purchasing_(No)1"/>
      <sheetName val="Reformation_(No)1"/>
      <sheetName val="Interlining_reduction1"/>
      <sheetName val="Hello_Kitty2"/>
      <sheetName val="Maintenance2000_No2"/>
      <sheetName val="Minimal_fabric_surplus_(No)2"/>
      <sheetName val="Focus_Link2"/>
      <sheetName val="Purchasing_(No)2"/>
      <sheetName val="Reformation_(No)2"/>
      <sheetName val="Interlining_reductio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1">
          <cell r="B31">
            <v>37317</v>
          </cell>
          <cell r="C31">
            <v>4.9000000000000004</v>
          </cell>
          <cell r="D31">
            <v>7.3</v>
          </cell>
          <cell r="E31">
            <v>4.9000000000000004</v>
          </cell>
          <cell r="F31">
            <v>9.5</v>
          </cell>
          <cell r="G31">
            <v>6.2</v>
          </cell>
          <cell r="H31">
            <v>7.8</v>
          </cell>
          <cell r="K31">
            <v>6.3</v>
          </cell>
          <cell r="L31">
            <v>8.1</v>
          </cell>
        </row>
        <row r="32">
          <cell r="B32">
            <v>37348</v>
          </cell>
          <cell r="C32">
            <v>4.9000000000000004</v>
          </cell>
          <cell r="D32">
            <v>9.3000000000000007</v>
          </cell>
          <cell r="E32">
            <v>4.9000000000000004</v>
          </cell>
          <cell r="F32">
            <v>9.3000000000000007</v>
          </cell>
          <cell r="G32">
            <v>6.2</v>
          </cell>
          <cell r="H32">
            <v>5.8</v>
          </cell>
          <cell r="K32">
            <v>6.3</v>
          </cell>
          <cell r="L32">
            <v>8.3000000000000007</v>
          </cell>
        </row>
        <row r="33">
          <cell r="B33">
            <v>37378</v>
          </cell>
          <cell r="C33">
            <v>4.9000000000000004</v>
          </cell>
          <cell r="D33">
            <v>7.9</v>
          </cell>
          <cell r="E33">
            <v>4.9000000000000004</v>
          </cell>
          <cell r="F33">
            <v>6.5</v>
          </cell>
          <cell r="G33">
            <v>6.2</v>
          </cell>
          <cell r="H33">
            <v>7.2</v>
          </cell>
          <cell r="K33">
            <v>6.3</v>
          </cell>
          <cell r="L33">
            <v>7.1</v>
          </cell>
        </row>
        <row r="35">
          <cell r="B35" t="str">
            <v>Monthly WIT Progress Report</v>
          </cell>
        </row>
        <row r="36">
          <cell r="B36" t="str">
            <v>2nd Phase WIT : "Q-File" Team</v>
          </cell>
        </row>
        <row r="37">
          <cell r="B37" t="str">
            <v>Project theme :  Working Towards AQL 2.5</v>
          </cell>
        </row>
        <row r="70">
          <cell r="B70" t="str">
            <v>Remarks :</v>
          </cell>
        </row>
        <row r="71">
          <cell r="B71" t="str">
            <v>Sep'01 :</v>
          </cell>
          <cell r="C71" t="str">
            <v>High defect rate on Eddie Bauer felling operation - new sewing method. (If excluded EB order, average DHU = 6.5)</v>
          </cell>
        </row>
        <row r="106">
          <cell r="B106" t="str">
            <v>Remarks:</v>
          </cell>
        </row>
        <row r="107">
          <cell r="B107" t="str">
            <v>Sep'01:</v>
          </cell>
        </row>
        <row r="142">
          <cell r="B142" t="str">
            <v>Remarks:</v>
          </cell>
        </row>
        <row r="143">
          <cell r="B143" t="str">
            <v>Sep'01:</v>
          </cell>
          <cell r="C143" t="str">
            <v>High defect rate on Eddie Bauer felling operation - new sewing method. (If excluded EB order, average DHU = 6.2)</v>
          </cell>
        </row>
        <row r="178">
          <cell r="B178" t="str">
            <v>Monthly WIT Progress Report</v>
          </cell>
        </row>
        <row r="179">
          <cell r="B179" t="str">
            <v>2nd Phase WIT : "Q-File" Team</v>
          </cell>
        </row>
        <row r="180">
          <cell r="B180" t="str">
            <v>Project theme :  Working Towards AQL 2.5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1585-F844-43B5-81A9-45B723A47367}">
  <sheetPr>
    <pageSetUpPr fitToPage="1"/>
  </sheetPr>
  <dimension ref="A2:V45"/>
  <sheetViews>
    <sheetView tabSelected="1" topLeftCell="K1" zoomScale="85" zoomScaleNormal="85" workbookViewId="0">
      <selection activeCell="W1" sqref="A1:W69"/>
    </sheetView>
  </sheetViews>
  <sheetFormatPr defaultColWidth="8.85546875" defaultRowHeight="15"/>
  <cols>
    <col min="1" max="1" width="2.5703125" style="114" customWidth="1"/>
    <col min="2" max="2" width="5.85546875" style="7" customWidth="1"/>
    <col min="3" max="3" width="12.7109375" style="7" customWidth="1"/>
    <col min="4" max="4" width="76.42578125" style="7" customWidth="1"/>
    <col min="5" max="5" width="19.85546875" style="7" customWidth="1"/>
    <col min="6" max="6" width="14.140625" style="7" hidden="1" customWidth="1"/>
    <col min="7" max="7" width="13.42578125" style="7" customWidth="1"/>
    <col min="8" max="12" width="7.7109375" style="7" customWidth="1"/>
    <col min="13" max="14" width="14.28515625" style="7" customWidth="1"/>
    <col min="15" max="15" width="14" style="7" customWidth="1"/>
    <col min="16" max="16" width="19.28515625" style="7" customWidth="1"/>
    <col min="17" max="18" width="13.5703125" style="115" customWidth="1"/>
    <col min="19" max="19" width="16.5703125" style="7" hidden="1" customWidth="1"/>
    <col min="20" max="20" width="22.28515625" style="7" customWidth="1"/>
    <col min="21" max="21" width="13" style="77" customWidth="1"/>
    <col min="22" max="22" width="14.28515625" style="7" customWidth="1"/>
    <col min="23" max="16384" width="8.85546875" style="114"/>
  </cols>
  <sheetData>
    <row r="2" spans="1:22" ht="23.2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4"/>
      <c r="T2" s="5"/>
      <c r="U2" s="6"/>
    </row>
    <row r="3" spans="1:22" ht="43.15" customHeight="1">
      <c r="B3" s="8"/>
      <c r="D3" s="9" t="s">
        <v>1</v>
      </c>
      <c r="E3" s="10" t="s">
        <v>2</v>
      </c>
      <c r="F3" s="11"/>
      <c r="G3" s="11"/>
      <c r="H3" s="12" t="s">
        <v>3</v>
      </c>
      <c r="I3" s="13"/>
      <c r="J3" s="13"/>
      <c r="K3" s="14"/>
      <c r="L3" s="15" t="s">
        <v>4</v>
      </c>
      <c r="M3" s="16"/>
      <c r="N3" s="16"/>
      <c r="O3" s="17"/>
      <c r="P3" s="18" t="s">
        <v>5</v>
      </c>
      <c r="Q3" s="19">
        <v>93</v>
      </c>
      <c r="R3" s="20"/>
      <c r="S3" s="21"/>
      <c r="T3" s="22"/>
      <c r="U3" s="6"/>
    </row>
    <row r="4" spans="1:22" ht="31.5">
      <c r="B4" s="23"/>
      <c r="D4" s="24" t="s">
        <v>6</v>
      </c>
      <c r="E4" s="12" t="s">
        <v>7</v>
      </c>
      <c r="F4" s="13"/>
      <c r="G4" s="13"/>
      <c r="H4" s="12" t="s">
        <v>8</v>
      </c>
      <c r="I4" s="13"/>
      <c r="J4" s="13"/>
      <c r="K4" s="14"/>
      <c r="L4" s="25">
        <f>Q3/H6</f>
        <v>4.4285714285714288</v>
      </c>
      <c r="M4" s="26"/>
      <c r="N4" s="26"/>
      <c r="O4" s="27"/>
      <c r="P4" s="18" t="s">
        <v>9</v>
      </c>
      <c r="Q4" s="28">
        <f>Q3*8</f>
        <v>744</v>
      </c>
      <c r="R4" s="20"/>
      <c r="S4" s="21"/>
      <c r="T4" s="22"/>
      <c r="U4" s="29"/>
    </row>
    <row r="5" spans="1:22" ht="21" customHeight="1">
      <c r="B5" s="23"/>
      <c r="D5" s="24" t="s">
        <v>10</v>
      </c>
      <c r="E5" s="30" t="s">
        <v>11</v>
      </c>
      <c r="F5" s="12"/>
      <c r="G5" s="12"/>
      <c r="H5" s="31">
        <v>45372</v>
      </c>
      <c r="I5" s="32"/>
      <c r="J5" s="32"/>
      <c r="K5" s="33"/>
      <c r="L5" s="34"/>
      <c r="M5" s="35"/>
      <c r="N5" s="35"/>
      <c r="O5" s="36"/>
      <c r="P5" s="37" t="s">
        <v>12</v>
      </c>
      <c r="Q5" s="38">
        <v>3600</v>
      </c>
      <c r="R5" s="20"/>
      <c r="S5" s="21"/>
      <c r="T5" s="22"/>
      <c r="U5" s="29"/>
      <c r="V5" s="39"/>
    </row>
    <row r="6" spans="1:22" ht="21.75" customHeight="1">
      <c r="B6" s="40"/>
      <c r="D6" s="41"/>
      <c r="E6" s="12" t="s">
        <v>13</v>
      </c>
      <c r="F6" s="13"/>
      <c r="G6" s="14"/>
      <c r="H6" s="42">
        <f>G32</f>
        <v>21</v>
      </c>
      <c r="I6" s="43"/>
      <c r="J6" s="43"/>
      <c r="K6" s="44"/>
      <c r="L6" s="45"/>
      <c r="M6" s="46"/>
      <c r="N6" s="46"/>
      <c r="O6" s="47"/>
      <c r="P6" s="18" t="s">
        <v>14</v>
      </c>
      <c r="Q6" s="48">
        <f>Q5/Q3</f>
        <v>38.70967741935484</v>
      </c>
      <c r="R6" s="49"/>
      <c r="S6" s="50"/>
      <c r="T6" s="51"/>
      <c r="U6" s="29"/>
    </row>
    <row r="7" spans="1:22" ht="22.15" customHeight="1">
      <c r="B7" s="52" t="s">
        <v>15</v>
      </c>
      <c r="C7" s="52" t="s">
        <v>16</v>
      </c>
      <c r="D7" s="52" t="s">
        <v>17</v>
      </c>
      <c r="E7" s="53" t="s">
        <v>18</v>
      </c>
      <c r="F7" s="52" t="s">
        <v>19</v>
      </c>
      <c r="G7" s="54" t="s">
        <v>20</v>
      </c>
      <c r="H7" s="55" t="s">
        <v>21</v>
      </c>
      <c r="I7" s="56"/>
      <c r="J7" s="56"/>
      <c r="K7" s="56"/>
      <c r="L7" s="57"/>
      <c r="M7" s="52" t="s">
        <v>22</v>
      </c>
      <c r="N7" s="58" t="s">
        <v>23</v>
      </c>
      <c r="O7" s="52" t="s">
        <v>24</v>
      </c>
      <c r="P7" s="59" t="s">
        <v>25</v>
      </c>
      <c r="Q7" s="59" t="s">
        <v>26</v>
      </c>
      <c r="R7" s="60" t="s">
        <v>27</v>
      </c>
      <c r="S7" s="55" t="s">
        <v>28</v>
      </c>
      <c r="T7" s="61" t="s">
        <v>29</v>
      </c>
      <c r="U7" s="6"/>
    </row>
    <row r="8" spans="1:22" ht="27.6" customHeight="1">
      <c r="B8" s="62"/>
      <c r="C8" s="62"/>
      <c r="D8" s="62"/>
      <c r="E8" s="63"/>
      <c r="F8" s="62"/>
      <c r="G8" s="54"/>
      <c r="H8" s="64"/>
      <c r="I8" s="65"/>
      <c r="J8" s="65"/>
      <c r="K8" s="65"/>
      <c r="L8" s="66"/>
      <c r="M8" s="62"/>
      <c r="N8" s="67"/>
      <c r="O8" s="62"/>
      <c r="P8" s="59"/>
      <c r="Q8" s="59"/>
      <c r="R8" s="60"/>
      <c r="S8" s="64"/>
      <c r="T8" s="68"/>
      <c r="U8" s="6"/>
    </row>
    <row r="9" spans="1:22" ht="36.75" customHeight="1">
      <c r="B9" s="62"/>
      <c r="C9" s="62"/>
      <c r="D9" s="62"/>
      <c r="E9" s="63"/>
      <c r="F9" s="62"/>
      <c r="G9" s="54"/>
      <c r="H9" s="64"/>
      <c r="I9" s="65"/>
      <c r="J9" s="65"/>
      <c r="K9" s="65"/>
      <c r="L9" s="66"/>
      <c r="M9" s="62"/>
      <c r="N9" s="67"/>
      <c r="O9" s="62"/>
      <c r="P9" s="59"/>
      <c r="Q9" s="59"/>
      <c r="R9" s="60"/>
      <c r="S9" s="69"/>
      <c r="T9" s="70"/>
      <c r="U9" s="6"/>
    </row>
    <row r="10" spans="1:22" ht="24" customHeight="1">
      <c r="B10" s="71"/>
      <c r="C10" s="71"/>
      <c r="D10" s="71"/>
      <c r="E10" s="72"/>
      <c r="F10" s="71"/>
      <c r="G10" s="73">
        <f>SUM(G11:G31)</f>
        <v>21</v>
      </c>
      <c r="H10" s="74">
        <v>1</v>
      </c>
      <c r="I10" s="74">
        <v>2</v>
      </c>
      <c r="J10" s="74">
        <v>3</v>
      </c>
      <c r="K10" s="74">
        <v>4</v>
      </c>
      <c r="L10" s="74">
        <v>5</v>
      </c>
      <c r="N10" s="75">
        <f>MAX(N11:N31)</f>
        <v>40.246166666666667</v>
      </c>
      <c r="O10" s="75">
        <f>MAX(O11:O31)</f>
        <v>34.99666666666667</v>
      </c>
      <c r="P10" s="73">
        <f>MAX(P11:P74)</f>
        <v>138.12772978123385</v>
      </c>
      <c r="Q10" s="73">
        <f>MIN(Q11:Q31)</f>
        <v>89.449512790037971</v>
      </c>
      <c r="R10" s="60"/>
      <c r="S10" s="76"/>
      <c r="T10" s="73">
        <f>MIN(T11:T31)</f>
        <v>715.59610232030377</v>
      </c>
      <c r="V10" s="77"/>
    </row>
    <row r="11" spans="1:22" ht="25.15" customHeight="1">
      <c r="A11" s="116"/>
      <c r="B11" s="78">
        <v>1</v>
      </c>
      <c r="C11" s="79" t="s">
        <v>30</v>
      </c>
      <c r="D11" s="80" t="s">
        <v>31</v>
      </c>
      <c r="E11" s="81" t="s">
        <v>32</v>
      </c>
      <c r="F11" s="82"/>
      <c r="G11" s="83">
        <v>1</v>
      </c>
      <c r="H11" s="84">
        <f>6.65+21.13</f>
        <v>27.78</v>
      </c>
      <c r="I11" s="84">
        <f>6.82+21.78</f>
        <v>28.6</v>
      </c>
      <c r="J11" s="84">
        <f>6.4+21.35</f>
        <v>27.75</v>
      </c>
      <c r="K11" s="84"/>
      <c r="L11" s="84"/>
      <c r="M11" s="85">
        <f>AVERAGE(H11:L11)</f>
        <v>28.043333333333333</v>
      </c>
      <c r="N11" s="85">
        <f>M11*1.15</f>
        <v>32.249833333333328</v>
      </c>
      <c r="O11" s="85">
        <f>M11</f>
        <v>28.043333333333333</v>
      </c>
      <c r="P11" s="86">
        <f>3600/N11</f>
        <v>111.6284838681337</v>
      </c>
      <c r="Q11" s="86">
        <f>P11</f>
        <v>111.6284838681337</v>
      </c>
      <c r="R11" s="87">
        <f t="shared" ref="R11:R31" si="0">O11/$Q$6</f>
        <v>0.72445277777777772</v>
      </c>
      <c r="S11" s="88">
        <f>AVERAGE(Q11:Q74)</f>
        <v>111.2455681005346</v>
      </c>
      <c r="T11" s="89">
        <f>Q11*8</f>
        <v>893.02787094506959</v>
      </c>
      <c r="U11" s="90">
        <f>+$Q$3</f>
        <v>93</v>
      </c>
      <c r="V11" s="91">
        <f>$Q$5/$Q$3</f>
        <v>38.70967741935484</v>
      </c>
    </row>
    <row r="12" spans="1:22" ht="25.15" customHeight="1">
      <c r="A12" s="116"/>
      <c r="B12" s="78">
        <v>2</v>
      </c>
      <c r="C12" s="79" t="s">
        <v>30</v>
      </c>
      <c r="D12" s="80" t="s">
        <v>33</v>
      </c>
      <c r="E12" s="81" t="s">
        <v>34</v>
      </c>
      <c r="F12" s="82"/>
      <c r="G12" s="83">
        <v>1</v>
      </c>
      <c r="H12" s="84">
        <f>17.82+6.91</f>
        <v>24.73</v>
      </c>
      <c r="I12" s="84">
        <f>17.09+7.56</f>
        <v>24.65</v>
      </c>
      <c r="J12" s="84">
        <f>17.81+7.69</f>
        <v>25.5</v>
      </c>
      <c r="K12" s="84"/>
      <c r="L12" s="84"/>
      <c r="M12" s="85">
        <f>AVERAGE(H12:L12)</f>
        <v>24.959999999999997</v>
      </c>
      <c r="N12" s="85">
        <f t="shared" ref="N12:N31" si="1">M12*1.15</f>
        <v>28.703999999999994</v>
      </c>
      <c r="O12" s="85">
        <f t="shared" ref="O12:O31" si="2">M12</f>
        <v>24.959999999999997</v>
      </c>
      <c r="P12" s="86">
        <f t="shared" ref="P12:P31" si="3">3600/N12</f>
        <v>125.41806020066892</v>
      </c>
      <c r="Q12" s="86">
        <f t="shared" ref="Q12:Q31" si="4">P12</f>
        <v>125.41806020066892</v>
      </c>
      <c r="R12" s="87">
        <f t="shared" si="0"/>
        <v>0.64479999999999993</v>
      </c>
      <c r="S12" s="92"/>
      <c r="T12" s="89">
        <f t="shared" ref="T12:T31" si="5">Q12*8</f>
        <v>1003.3444816053513</v>
      </c>
      <c r="U12" s="90">
        <f t="shared" ref="U12:U31" si="6">+$Q$3</f>
        <v>93</v>
      </c>
      <c r="V12" s="91">
        <f t="shared" ref="V12:V31" si="7">$Q$5/$Q$3</f>
        <v>38.70967741935484</v>
      </c>
    </row>
    <row r="13" spans="1:22" ht="25.15" customHeight="1">
      <c r="A13" s="116"/>
      <c r="B13" s="78">
        <v>3</v>
      </c>
      <c r="C13" s="79" t="s">
        <v>30</v>
      </c>
      <c r="D13" s="80" t="s">
        <v>35</v>
      </c>
      <c r="E13" s="81" t="s">
        <v>36</v>
      </c>
      <c r="F13" s="82"/>
      <c r="G13" s="83">
        <v>1</v>
      </c>
      <c r="H13" s="84">
        <f>17.66+16.57</f>
        <v>34.230000000000004</v>
      </c>
      <c r="I13" s="84">
        <f>18.09+15.65</f>
        <v>33.74</v>
      </c>
      <c r="J13" s="84">
        <f>17.05+16.05</f>
        <v>33.1</v>
      </c>
      <c r="K13" s="84"/>
      <c r="L13" s="84"/>
      <c r="M13" s="85">
        <f>AVERAGE(H13:L13)</f>
        <v>33.69</v>
      </c>
      <c r="N13" s="85">
        <f t="shared" si="1"/>
        <v>38.743499999999997</v>
      </c>
      <c r="O13" s="85">
        <f t="shared" si="2"/>
        <v>33.69</v>
      </c>
      <c r="P13" s="86">
        <f t="shared" si="3"/>
        <v>92.918812187850875</v>
      </c>
      <c r="Q13" s="86">
        <f t="shared" si="4"/>
        <v>92.918812187850875</v>
      </c>
      <c r="R13" s="87">
        <f t="shared" si="0"/>
        <v>0.8703249999999999</v>
      </c>
      <c r="S13" s="92"/>
      <c r="T13" s="89">
        <f t="shared" si="5"/>
        <v>743.350497502807</v>
      </c>
      <c r="U13" s="90">
        <f t="shared" si="6"/>
        <v>93</v>
      </c>
      <c r="V13" s="91">
        <f t="shared" si="7"/>
        <v>38.70967741935484</v>
      </c>
    </row>
    <row r="14" spans="1:22" s="116" customFormat="1" ht="25.15" customHeight="1">
      <c r="B14" s="93">
        <v>4</v>
      </c>
      <c r="C14" s="94" t="s">
        <v>30</v>
      </c>
      <c r="D14" s="80" t="s">
        <v>37</v>
      </c>
      <c r="E14" s="95" t="s">
        <v>38</v>
      </c>
      <c r="F14" s="82"/>
      <c r="G14" s="83">
        <v>1</v>
      </c>
      <c r="H14" s="96">
        <f>8.32+18.47</f>
        <v>26.79</v>
      </c>
      <c r="I14" s="96">
        <f>8.75+18.81</f>
        <v>27.56</v>
      </c>
      <c r="J14" s="96">
        <f>8.25+18.57</f>
        <v>26.82</v>
      </c>
      <c r="K14" s="96"/>
      <c r="L14" s="96"/>
      <c r="M14" s="85">
        <f t="shared" ref="M14:M31" si="8">AVERAGE(H14:L14)</f>
        <v>27.056666666666661</v>
      </c>
      <c r="N14" s="85">
        <f t="shared" si="1"/>
        <v>31.115166666666656</v>
      </c>
      <c r="O14" s="85">
        <f t="shared" si="2"/>
        <v>27.056666666666661</v>
      </c>
      <c r="P14" s="86">
        <f t="shared" si="3"/>
        <v>115.69920349668708</v>
      </c>
      <c r="Q14" s="86">
        <f t="shared" si="4"/>
        <v>115.69920349668708</v>
      </c>
      <c r="R14" s="87">
        <f t="shared" si="0"/>
        <v>0.69896388888888872</v>
      </c>
      <c r="S14" s="92"/>
      <c r="T14" s="89">
        <f t="shared" si="5"/>
        <v>925.59362797349661</v>
      </c>
      <c r="U14" s="90">
        <f t="shared" si="6"/>
        <v>93</v>
      </c>
      <c r="V14" s="91">
        <f t="shared" si="7"/>
        <v>38.70967741935484</v>
      </c>
    </row>
    <row r="15" spans="1:22" s="116" customFormat="1" ht="25.15" customHeight="1">
      <c r="B15" s="78">
        <v>5</v>
      </c>
      <c r="C15" s="79" t="s">
        <v>30</v>
      </c>
      <c r="D15" s="80" t="s">
        <v>39</v>
      </c>
      <c r="E15" s="97" t="s">
        <v>40</v>
      </c>
      <c r="F15" s="82"/>
      <c r="G15" s="83">
        <v>1</v>
      </c>
      <c r="H15" s="84">
        <v>25.56</v>
      </c>
      <c r="I15" s="84">
        <v>25.16</v>
      </c>
      <c r="J15" s="84">
        <v>26.62</v>
      </c>
      <c r="K15" s="84"/>
      <c r="L15" s="84"/>
      <c r="M15" s="85">
        <f t="shared" si="8"/>
        <v>25.78</v>
      </c>
      <c r="N15" s="85">
        <f t="shared" si="1"/>
        <v>29.646999999999998</v>
      </c>
      <c r="O15" s="85">
        <f t="shared" si="2"/>
        <v>25.78</v>
      </c>
      <c r="P15" s="86">
        <f t="shared" si="3"/>
        <v>121.42881235875468</v>
      </c>
      <c r="Q15" s="86">
        <f t="shared" si="4"/>
        <v>121.42881235875468</v>
      </c>
      <c r="R15" s="87">
        <f t="shared" si="0"/>
        <v>0.66598333333333337</v>
      </c>
      <c r="S15" s="92"/>
      <c r="T15" s="89">
        <f t="shared" si="5"/>
        <v>971.43049887003747</v>
      </c>
      <c r="U15" s="90">
        <f t="shared" si="6"/>
        <v>93</v>
      </c>
      <c r="V15" s="91">
        <f t="shared" si="7"/>
        <v>38.70967741935484</v>
      </c>
    </row>
    <row r="16" spans="1:22" s="116" customFormat="1" ht="25.15" customHeight="1">
      <c r="B16" s="78">
        <v>6</v>
      </c>
      <c r="C16" s="79" t="s">
        <v>30</v>
      </c>
      <c r="D16" s="80" t="s">
        <v>41</v>
      </c>
      <c r="E16" s="97" t="s">
        <v>42</v>
      </c>
      <c r="F16" s="82"/>
      <c r="G16" s="83">
        <v>1</v>
      </c>
      <c r="H16" s="84">
        <v>35.47</v>
      </c>
      <c r="I16" s="84">
        <v>35.21</v>
      </c>
      <c r="J16" s="84">
        <v>34.31</v>
      </c>
      <c r="K16" s="84"/>
      <c r="L16" s="84"/>
      <c r="M16" s="85">
        <f t="shared" si="8"/>
        <v>34.99666666666667</v>
      </c>
      <c r="N16" s="85">
        <f t="shared" si="1"/>
        <v>40.246166666666667</v>
      </c>
      <c r="O16" s="85">
        <f t="shared" si="2"/>
        <v>34.99666666666667</v>
      </c>
      <c r="P16" s="86">
        <f t="shared" si="3"/>
        <v>89.449512790037971</v>
      </c>
      <c r="Q16" s="86">
        <f t="shared" si="4"/>
        <v>89.449512790037971</v>
      </c>
      <c r="R16" s="87">
        <f t="shared" si="0"/>
        <v>0.90408055555555555</v>
      </c>
      <c r="S16" s="92"/>
      <c r="T16" s="89">
        <f t="shared" si="5"/>
        <v>715.59610232030377</v>
      </c>
      <c r="U16" s="90">
        <f t="shared" si="6"/>
        <v>93</v>
      </c>
      <c r="V16" s="91">
        <f t="shared" si="7"/>
        <v>38.70967741935484</v>
      </c>
    </row>
    <row r="17" spans="2:22" s="116" customFormat="1" ht="28.5" customHeight="1">
      <c r="B17" s="78">
        <v>7</v>
      </c>
      <c r="C17" s="79" t="s">
        <v>30</v>
      </c>
      <c r="D17" s="80" t="s">
        <v>43</v>
      </c>
      <c r="E17" s="97" t="s">
        <v>44</v>
      </c>
      <c r="F17" s="82"/>
      <c r="G17" s="83">
        <v>1</v>
      </c>
      <c r="H17" s="98">
        <v>31.69</v>
      </c>
      <c r="I17" s="84">
        <v>31.2</v>
      </c>
      <c r="J17" s="84">
        <v>30.5</v>
      </c>
      <c r="K17" s="84"/>
      <c r="L17" s="84"/>
      <c r="M17" s="85">
        <f t="shared" si="8"/>
        <v>31.13</v>
      </c>
      <c r="N17" s="85">
        <f t="shared" si="1"/>
        <v>35.799499999999995</v>
      </c>
      <c r="O17" s="85">
        <f t="shared" si="2"/>
        <v>31.13</v>
      </c>
      <c r="P17" s="86">
        <f t="shared" si="3"/>
        <v>100.56006368804034</v>
      </c>
      <c r="Q17" s="86">
        <f t="shared" si="4"/>
        <v>100.56006368804034</v>
      </c>
      <c r="R17" s="87">
        <f t="shared" si="0"/>
        <v>0.80419166666666664</v>
      </c>
      <c r="S17" s="92"/>
      <c r="T17" s="89">
        <f t="shared" si="5"/>
        <v>804.48050950432275</v>
      </c>
      <c r="U17" s="90">
        <f t="shared" si="6"/>
        <v>93</v>
      </c>
      <c r="V17" s="91">
        <f t="shared" si="7"/>
        <v>38.70967741935484</v>
      </c>
    </row>
    <row r="18" spans="2:22" s="116" customFormat="1" ht="25.15" customHeight="1">
      <c r="B18" s="93">
        <v>8</v>
      </c>
      <c r="C18" s="94" t="s">
        <v>30</v>
      </c>
      <c r="D18" s="80" t="s">
        <v>45</v>
      </c>
      <c r="E18" s="98" t="s">
        <v>46</v>
      </c>
      <c r="F18" s="82"/>
      <c r="G18" s="83">
        <v>1</v>
      </c>
      <c r="H18" s="98">
        <v>25.26</v>
      </c>
      <c r="I18" s="84">
        <v>24.31</v>
      </c>
      <c r="J18" s="84">
        <v>24.28</v>
      </c>
      <c r="K18" s="84"/>
      <c r="L18" s="84"/>
      <c r="M18" s="85">
        <f t="shared" si="8"/>
        <v>24.616666666666664</v>
      </c>
      <c r="N18" s="85">
        <f t="shared" si="1"/>
        <v>28.309166666666663</v>
      </c>
      <c r="O18" s="85">
        <f t="shared" si="2"/>
        <v>24.616666666666664</v>
      </c>
      <c r="P18" s="86">
        <f t="shared" si="3"/>
        <v>127.16728974713729</v>
      </c>
      <c r="Q18" s="86">
        <f t="shared" si="4"/>
        <v>127.16728974713729</v>
      </c>
      <c r="R18" s="87">
        <f t="shared" si="0"/>
        <v>0.63593055555555544</v>
      </c>
      <c r="S18" s="92"/>
      <c r="T18" s="89">
        <f t="shared" si="5"/>
        <v>1017.3383179770983</v>
      </c>
      <c r="U18" s="90">
        <f t="shared" si="6"/>
        <v>93</v>
      </c>
      <c r="V18" s="91">
        <f t="shared" si="7"/>
        <v>38.70967741935484</v>
      </c>
    </row>
    <row r="19" spans="2:22" s="116" customFormat="1" ht="28.5" customHeight="1">
      <c r="B19" s="99">
        <v>9</v>
      </c>
      <c r="C19" s="94" t="s">
        <v>30</v>
      </c>
      <c r="D19" s="80" t="s">
        <v>47</v>
      </c>
      <c r="E19" s="98" t="s">
        <v>48</v>
      </c>
      <c r="F19" s="82"/>
      <c r="G19" s="83">
        <v>1</v>
      </c>
      <c r="H19" s="84">
        <f>9.78+15.54</f>
        <v>25.32</v>
      </c>
      <c r="I19" s="84">
        <f>9.78+15.6</f>
        <v>25.38</v>
      </c>
      <c r="J19" s="84">
        <f>9.78+15.65</f>
        <v>25.43</v>
      </c>
      <c r="K19" s="84"/>
      <c r="L19" s="84"/>
      <c r="M19" s="85">
        <f t="shared" si="8"/>
        <v>25.376666666666665</v>
      </c>
      <c r="N19" s="85">
        <f t="shared" si="1"/>
        <v>29.183166666666661</v>
      </c>
      <c r="O19" s="85">
        <f t="shared" si="2"/>
        <v>25.376666666666665</v>
      </c>
      <c r="P19" s="100">
        <f t="shared" si="3"/>
        <v>123.35878560128843</v>
      </c>
      <c r="Q19" s="86">
        <f t="shared" si="4"/>
        <v>123.35878560128843</v>
      </c>
      <c r="R19" s="87">
        <f t="shared" si="0"/>
        <v>0.65556388888888883</v>
      </c>
      <c r="S19" s="92"/>
      <c r="T19" s="89">
        <f t="shared" si="5"/>
        <v>986.87028481030745</v>
      </c>
      <c r="U19" s="90">
        <f t="shared" si="6"/>
        <v>93</v>
      </c>
      <c r="V19" s="91">
        <f t="shared" si="7"/>
        <v>38.70967741935484</v>
      </c>
    </row>
    <row r="20" spans="2:22" s="116" customFormat="1" ht="25.15" customHeight="1">
      <c r="B20" s="93">
        <v>10</v>
      </c>
      <c r="C20" s="94" t="s">
        <v>30</v>
      </c>
      <c r="D20" s="80" t="s">
        <v>49</v>
      </c>
      <c r="E20" s="98" t="s">
        <v>50</v>
      </c>
      <c r="F20" s="82"/>
      <c r="G20" s="83">
        <v>1</v>
      </c>
      <c r="H20" s="84">
        <v>29.57</v>
      </c>
      <c r="I20" s="84">
        <v>30.06</v>
      </c>
      <c r="J20" s="84">
        <v>31.85</v>
      </c>
      <c r="K20" s="84"/>
      <c r="L20" s="84"/>
      <c r="M20" s="85">
        <f t="shared" si="8"/>
        <v>30.493333333333329</v>
      </c>
      <c r="N20" s="85">
        <f t="shared" si="1"/>
        <v>35.067333333333323</v>
      </c>
      <c r="O20" s="85">
        <f t="shared" si="2"/>
        <v>30.493333333333329</v>
      </c>
      <c r="P20" s="100">
        <f t="shared" si="3"/>
        <v>102.65964525389253</v>
      </c>
      <c r="Q20" s="86">
        <f t="shared" si="4"/>
        <v>102.65964525389253</v>
      </c>
      <c r="R20" s="87">
        <f t="shared" si="0"/>
        <v>0.78774444444444425</v>
      </c>
      <c r="S20" s="92"/>
      <c r="T20" s="89">
        <f t="shared" si="5"/>
        <v>821.27716203114028</v>
      </c>
      <c r="U20" s="90">
        <f t="shared" si="6"/>
        <v>93</v>
      </c>
      <c r="V20" s="91">
        <f t="shared" si="7"/>
        <v>38.70967741935484</v>
      </c>
    </row>
    <row r="21" spans="2:22" s="116" customFormat="1" ht="25.15" customHeight="1">
      <c r="B21" s="78">
        <v>11</v>
      </c>
      <c r="C21" s="79" t="s">
        <v>30</v>
      </c>
      <c r="D21" s="80" t="s">
        <v>51</v>
      </c>
      <c r="E21" s="97" t="s">
        <v>52</v>
      </c>
      <c r="F21" s="82"/>
      <c r="G21" s="83">
        <v>1</v>
      </c>
      <c r="H21" s="84">
        <f>24.07+7.019</f>
        <v>31.088999999999999</v>
      </c>
      <c r="I21" s="84">
        <f>24.69+7.3</f>
        <v>31.990000000000002</v>
      </c>
      <c r="J21" s="84">
        <f>25.28+6.64</f>
        <v>31.92</v>
      </c>
      <c r="K21" s="84"/>
      <c r="L21" s="84"/>
      <c r="M21" s="85">
        <f t="shared" si="8"/>
        <v>31.666333333333331</v>
      </c>
      <c r="N21" s="85">
        <f t="shared" si="1"/>
        <v>36.416283333333325</v>
      </c>
      <c r="O21" s="85">
        <f t="shared" si="2"/>
        <v>31.666333333333331</v>
      </c>
      <c r="P21" s="100">
        <f t="shared" si="3"/>
        <v>98.856875838967667</v>
      </c>
      <c r="Q21" s="86">
        <f t="shared" si="4"/>
        <v>98.856875838967667</v>
      </c>
      <c r="R21" s="87">
        <f t="shared" si="0"/>
        <v>0.81804694444444437</v>
      </c>
      <c r="S21" s="92"/>
      <c r="T21" s="89">
        <f t="shared" si="5"/>
        <v>790.85500671174134</v>
      </c>
      <c r="U21" s="90">
        <f t="shared" si="6"/>
        <v>93</v>
      </c>
      <c r="V21" s="91">
        <f t="shared" si="7"/>
        <v>38.70967741935484</v>
      </c>
    </row>
    <row r="22" spans="2:22" s="116" customFormat="1" ht="25.15" customHeight="1">
      <c r="B22" s="99">
        <v>12</v>
      </c>
      <c r="C22" s="79" t="s">
        <v>30</v>
      </c>
      <c r="D22" s="80" t="s">
        <v>53</v>
      </c>
      <c r="E22" s="97" t="s">
        <v>54</v>
      </c>
      <c r="F22" s="82"/>
      <c r="G22" s="83">
        <v>1</v>
      </c>
      <c r="H22" s="84">
        <v>31.03</v>
      </c>
      <c r="I22" s="84">
        <v>30.07</v>
      </c>
      <c r="J22" s="84">
        <v>31.18</v>
      </c>
      <c r="K22" s="84"/>
      <c r="L22" s="84"/>
      <c r="M22" s="85">
        <f t="shared" si="8"/>
        <v>30.76</v>
      </c>
      <c r="N22" s="85">
        <f t="shared" si="1"/>
        <v>35.374000000000002</v>
      </c>
      <c r="O22" s="85">
        <f t="shared" si="2"/>
        <v>30.76</v>
      </c>
      <c r="P22" s="100">
        <f t="shared" si="3"/>
        <v>101.76966133318255</v>
      </c>
      <c r="Q22" s="86">
        <f t="shared" si="4"/>
        <v>101.76966133318255</v>
      </c>
      <c r="R22" s="87">
        <f t="shared" si="0"/>
        <v>0.7946333333333333</v>
      </c>
      <c r="S22" s="92"/>
      <c r="T22" s="89">
        <f t="shared" si="5"/>
        <v>814.15729066546044</v>
      </c>
      <c r="U22" s="90">
        <f t="shared" si="6"/>
        <v>93</v>
      </c>
      <c r="V22" s="91">
        <f t="shared" si="7"/>
        <v>38.70967741935484</v>
      </c>
    </row>
    <row r="23" spans="2:22" s="116" customFormat="1" ht="25.15" customHeight="1">
      <c r="B23" s="99">
        <v>13</v>
      </c>
      <c r="C23" s="79" t="s">
        <v>30</v>
      </c>
      <c r="D23" s="80" t="s">
        <v>55</v>
      </c>
      <c r="E23" s="97" t="s">
        <v>56</v>
      </c>
      <c r="F23" s="82"/>
      <c r="G23" s="83">
        <v>1</v>
      </c>
      <c r="H23" s="84">
        <f>18.56+4.41</f>
        <v>22.97</v>
      </c>
      <c r="I23" s="84">
        <f>18.25+4.43</f>
        <v>22.68</v>
      </c>
      <c r="J23" s="84">
        <f>17.37+4.97</f>
        <v>22.34</v>
      </c>
      <c r="K23" s="84"/>
      <c r="L23" s="84"/>
      <c r="M23" s="85">
        <f t="shared" si="8"/>
        <v>22.66333333333333</v>
      </c>
      <c r="N23" s="85">
        <f t="shared" si="1"/>
        <v>26.062833333333327</v>
      </c>
      <c r="O23" s="85">
        <f t="shared" si="2"/>
        <v>22.66333333333333</v>
      </c>
      <c r="P23" s="100">
        <f t="shared" si="3"/>
        <v>138.12772978123385</v>
      </c>
      <c r="Q23" s="86">
        <f t="shared" si="4"/>
        <v>138.12772978123385</v>
      </c>
      <c r="R23" s="87">
        <f t="shared" si="0"/>
        <v>0.58546944444444438</v>
      </c>
      <c r="S23" s="92"/>
      <c r="T23" s="89">
        <f t="shared" si="5"/>
        <v>1105.0218382498708</v>
      </c>
      <c r="U23" s="90">
        <f t="shared" si="6"/>
        <v>93</v>
      </c>
      <c r="V23" s="91">
        <f t="shared" si="7"/>
        <v>38.70967741935484</v>
      </c>
    </row>
    <row r="24" spans="2:22" s="116" customFormat="1" ht="27" customHeight="1">
      <c r="B24" s="99">
        <v>14</v>
      </c>
      <c r="C24" s="94" t="s">
        <v>30</v>
      </c>
      <c r="D24" s="80" t="s">
        <v>57</v>
      </c>
      <c r="E24" s="97" t="s">
        <v>58</v>
      </c>
      <c r="F24" s="82"/>
      <c r="G24" s="83">
        <v>1</v>
      </c>
      <c r="H24" s="84">
        <f>16.88+9.08</f>
        <v>25.96</v>
      </c>
      <c r="I24" s="84">
        <f>16.37+9.03</f>
        <v>25.4</v>
      </c>
      <c r="J24" s="84">
        <f>16.09+9.4</f>
        <v>25.490000000000002</v>
      </c>
      <c r="K24" s="84"/>
      <c r="L24" s="84"/>
      <c r="M24" s="85">
        <f t="shared" si="8"/>
        <v>25.616666666666664</v>
      </c>
      <c r="N24" s="85">
        <f t="shared" si="1"/>
        <v>29.459166666666661</v>
      </c>
      <c r="O24" s="85">
        <f t="shared" si="2"/>
        <v>25.616666666666664</v>
      </c>
      <c r="P24" s="100">
        <f t="shared" si="3"/>
        <v>122.2030494186869</v>
      </c>
      <c r="Q24" s="86">
        <f t="shared" si="4"/>
        <v>122.2030494186869</v>
      </c>
      <c r="R24" s="87">
        <f t="shared" si="0"/>
        <v>0.66176388888888882</v>
      </c>
      <c r="S24" s="92"/>
      <c r="T24" s="89">
        <f t="shared" si="5"/>
        <v>977.62439534949522</v>
      </c>
      <c r="U24" s="90">
        <f t="shared" si="6"/>
        <v>93</v>
      </c>
      <c r="V24" s="91">
        <f t="shared" si="7"/>
        <v>38.70967741935484</v>
      </c>
    </row>
    <row r="25" spans="2:22" s="116" customFormat="1" ht="25.15" customHeight="1">
      <c r="B25" s="99">
        <v>15</v>
      </c>
      <c r="C25" s="94" t="s">
        <v>30</v>
      </c>
      <c r="D25" s="80" t="s">
        <v>59</v>
      </c>
      <c r="E25" s="98" t="s">
        <v>60</v>
      </c>
      <c r="F25" s="82"/>
      <c r="G25" s="83">
        <v>1</v>
      </c>
      <c r="H25" s="84">
        <v>25.78</v>
      </c>
      <c r="I25" s="84">
        <v>26.95</v>
      </c>
      <c r="J25" s="84">
        <v>26.47</v>
      </c>
      <c r="K25" s="84"/>
      <c r="L25" s="84"/>
      <c r="M25" s="85">
        <f t="shared" si="8"/>
        <v>26.400000000000002</v>
      </c>
      <c r="N25" s="85">
        <f t="shared" si="1"/>
        <v>30.36</v>
      </c>
      <c r="O25" s="85">
        <f t="shared" si="2"/>
        <v>26.400000000000002</v>
      </c>
      <c r="P25" s="100">
        <f t="shared" si="3"/>
        <v>118.57707509881423</v>
      </c>
      <c r="Q25" s="86">
        <f t="shared" si="4"/>
        <v>118.57707509881423</v>
      </c>
      <c r="R25" s="87">
        <f t="shared" si="0"/>
        <v>0.68200000000000005</v>
      </c>
      <c r="S25" s="92"/>
      <c r="T25" s="89">
        <f t="shared" si="5"/>
        <v>948.61660079051387</v>
      </c>
      <c r="U25" s="90">
        <f t="shared" si="6"/>
        <v>93</v>
      </c>
      <c r="V25" s="91">
        <f t="shared" si="7"/>
        <v>38.70967741935484</v>
      </c>
    </row>
    <row r="26" spans="2:22" s="116" customFormat="1" ht="25.15" customHeight="1">
      <c r="B26" s="99">
        <v>16</v>
      </c>
      <c r="C26" s="79" t="s">
        <v>30</v>
      </c>
      <c r="D26" s="80" t="s">
        <v>61</v>
      </c>
      <c r="E26" s="98" t="s">
        <v>62</v>
      </c>
      <c r="F26" s="82"/>
      <c r="G26" s="83">
        <v>1</v>
      </c>
      <c r="H26" s="84">
        <f>9.19+16.22</f>
        <v>25.409999999999997</v>
      </c>
      <c r="I26" s="84">
        <f>10.03+16.9</f>
        <v>26.93</v>
      </c>
      <c r="J26" s="84">
        <f>10.09+17.64</f>
        <v>27.73</v>
      </c>
      <c r="K26" s="84"/>
      <c r="L26" s="84"/>
      <c r="M26" s="85">
        <f t="shared" si="8"/>
        <v>26.689999999999998</v>
      </c>
      <c r="N26" s="85">
        <f t="shared" si="1"/>
        <v>30.693499999999997</v>
      </c>
      <c r="O26" s="85">
        <f t="shared" si="2"/>
        <v>26.689999999999998</v>
      </c>
      <c r="P26" s="100">
        <f t="shared" si="3"/>
        <v>117.28867675566489</v>
      </c>
      <c r="Q26" s="86">
        <f t="shared" si="4"/>
        <v>117.28867675566489</v>
      </c>
      <c r="R26" s="87">
        <f t="shared" si="0"/>
        <v>0.68949166666666661</v>
      </c>
      <c r="S26" s="92"/>
      <c r="T26" s="89">
        <f t="shared" si="5"/>
        <v>938.30941404531916</v>
      </c>
      <c r="U26" s="90">
        <f t="shared" si="6"/>
        <v>93</v>
      </c>
      <c r="V26" s="91">
        <f t="shared" si="7"/>
        <v>38.70967741935484</v>
      </c>
    </row>
    <row r="27" spans="2:22" s="116" customFormat="1" ht="30" customHeight="1">
      <c r="B27" s="99">
        <v>17</v>
      </c>
      <c r="C27" s="79" t="s">
        <v>30</v>
      </c>
      <c r="D27" s="80" t="s">
        <v>63</v>
      </c>
      <c r="E27" s="98" t="s">
        <v>64</v>
      </c>
      <c r="F27" s="82"/>
      <c r="G27" s="83">
        <v>1</v>
      </c>
      <c r="H27" s="84">
        <v>25.81</v>
      </c>
      <c r="I27" s="84">
        <v>25.75</v>
      </c>
      <c r="J27" s="84">
        <v>26.68</v>
      </c>
      <c r="K27" s="84"/>
      <c r="L27" s="84"/>
      <c r="M27" s="85">
        <f t="shared" si="8"/>
        <v>26.080000000000002</v>
      </c>
      <c r="N27" s="85">
        <f t="shared" si="1"/>
        <v>29.992000000000001</v>
      </c>
      <c r="O27" s="85">
        <f t="shared" si="2"/>
        <v>26.080000000000002</v>
      </c>
      <c r="P27" s="100">
        <f t="shared" si="3"/>
        <v>120.03200853560949</v>
      </c>
      <c r="Q27" s="86">
        <f t="shared" si="4"/>
        <v>120.03200853560949</v>
      </c>
      <c r="R27" s="87">
        <f t="shared" si="0"/>
        <v>0.67373333333333341</v>
      </c>
      <c r="S27" s="92"/>
      <c r="T27" s="89">
        <f t="shared" si="5"/>
        <v>960.25606828487594</v>
      </c>
      <c r="U27" s="90">
        <f t="shared" si="6"/>
        <v>93</v>
      </c>
      <c r="V27" s="91">
        <f t="shared" si="7"/>
        <v>38.70967741935484</v>
      </c>
    </row>
    <row r="28" spans="2:22" s="116" customFormat="1" ht="26.25" customHeight="1">
      <c r="B28" s="99">
        <v>18</v>
      </c>
      <c r="C28" s="79" t="s">
        <v>30</v>
      </c>
      <c r="D28" s="80" t="s">
        <v>65</v>
      </c>
      <c r="E28" s="98" t="s">
        <v>66</v>
      </c>
      <c r="F28" s="82"/>
      <c r="G28" s="83">
        <v>1</v>
      </c>
      <c r="H28" s="84">
        <v>30.47</v>
      </c>
      <c r="I28" s="84">
        <v>29.03</v>
      </c>
      <c r="J28" s="84">
        <v>29.97</v>
      </c>
      <c r="K28" s="84"/>
      <c r="L28" s="84"/>
      <c r="M28" s="85">
        <f t="shared" si="8"/>
        <v>29.823333333333334</v>
      </c>
      <c r="N28" s="85">
        <f t="shared" si="1"/>
        <v>34.296833333333332</v>
      </c>
      <c r="O28" s="85">
        <f t="shared" si="2"/>
        <v>29.823333333333334</v>
      </c>
      <c r="P28" s="100">
        <f t="shared" si="3"/>
        <v>104.96595895636624</v>
      </c>
      <c r="Q28" s="86">
        <f t="shared" si="4"/>
        <v>104.96595895636624</v>
      </c>
      <c r="R28" s="87">
        <f t="shared" si="0"/>
        <v>0.7704361111111111</v>
      </c>
      <c r="S28" s="92"/>
      <c r="T28" s="89">
        <f t="shared" si="5"/>
        <v>839.72767165092989</v>
      </c>
      <c r="U28" s="90">
        <f t="shared" si="6"/>
        <v>93</v>
      </c>
      <c r="V28" s="91">
        <f t="shared" si="7"/>
        <v>38.70967741935484</v>
      </c>
    </row>
    <row r="29" spans="2:22" s="116" customFormat="1" ht="29.25" customHeight="1">
      <c r="B29" s="99">
        <v>19</v>
      </c>
      <c r="C29" s="94" t="s">
        <v>30</v>
      </c>
      <c r="D29" s="80" t="s">
        <v>67</v>
      </c>
      <c r="E29" s="98" t="s">
        <v>68</v>
      </c>
      <c r="F29" s="82"/>
      <c r="G29" s="83">
        <v>1</v>
      </c>
      <c r="H29" s="84">
        <f>16.28+6.38+6.34</f>
        <v>29</v>
      </c>
      <c r="I29" s="84">
        <f>15.5+6.97+5.34</f>
        <v>27.81</v>
      </c>
      <c r="J29" s="84">
        <f>16.65+6.69+5.09</f>
        <v>28.43</v>
      </c>
      <c r="K29" s="84"/>
      <c r="L29" s="84"/>
      <c r="M29" s="85">
        <f t="shared" si="8"/>
        <v>28.413333333333338</v>
      </c>
      <c r="N29" s="85">
        <f t="shared" si="1"/>
        <v>32.675333333333334</v>
      </c>
      <c r="O29" s="85">
        <f t="shared" si="2"/>
        <v>28.413333333333338</v>
      </c>
      <c r="P29" s="100">
        <f t="shared" si="3"/>
        <v>110.17485156999163</v>
      </c>
      <c r="Q29" s="86">
        <f t="shared" si="4"/>
        <v>110.17485156999163</v>
      </c>
      <c r="R29" s="87">
        <f t="shared" si="0"/>
        <v>0.73401111111111117</v>
      </c>
      <c r="S29" s="92"/>
      <c r="T29" s="89">
        <f t="shared" si="5"/>
        <v>881.39881255993305</v>
      </c>
      <c r="U29" s="90">
        <f t="shared" si="6"/>
        <v>93</v>
      </c>
      <c r="V29" s="91">
        <f t="shared" si="7"/>
        <v>38.70967741935484</v>
      </c>
    </row>
    <row r="30" spans="2:22" s="116" customFormat="1" ht="29.25" customHeight="1">
      <c r="B30" s="99">
        <v>20</v>
      </c>
      <c r="C30" s="79" t="s">
        <v>30</v>
      </c>
      <c r="D30" s="80" t="s">
        <v>69</v>
      </c>
      <c r="E30" s="98" t="s">
        <v>70</v>
      </c>
      <c r="F30" s="82"/>
      <c r="G30" s="83">
        <v>1</v>
      </c>
      <c r="H30" s="101">
        <f>9.81+16.44+4.75</f>
        <v>31</v>
      </c>
      <c r="I30" s="101">
        <f>9.75+15.06+5.25</f>
        <v>30.060000000000002</v>
      </c>
      <c r="J30" s="101">
        <f>9.44+16.32+4.53</f>
        <v>30.29</v>
      </c>
      <c r="K30" s="101"/>
      <c r="L30" s="101"/>
      <c r="M30" s="85">
        <f t="shared" si="8"/>
        <v>30.45</v>
      </c>
      <c r="N30" s="85">
        <f t="shared" si="1"/>
        <v>35.017499999999998</v>
      </c>
      <c r="O30" s="85">
        <f t="shared" si="2"/>
        <v>30.45</v>
      </c>
      <c r="P30" s="100">
        <f t="shared" si="3"/>
        <v>102.80573998714928</v>
      </c>
      <c r="Q30" s="86">
        <f t="shared" si="4"/>
        <v>102.80573998714928</v>
      </c>
      <c r="R30" s="87">
        <f t="shared" si="0"/>
        <v>0.78662499999999991</v>
      </c>
      <c r="S30" s="92"/>
      <c r="T30" s="89">
        <f t="shared" si="5"/>
        <v>822.44591989719424</v>
      </c>
      <c r="U30" s="90">
        <f t="shared" si="6"/>
        <v>93</v>
      </c>
      <c r="V30" s="91">
        <f t="shared" si="7"/>
        <v>38.70967741935484</v>
      </c>
    </row>
    <row r="31" spans="2:22" s="116" customFormat="1" ht="25.15" customHeight="1">
      <c r="B31" s="99">
        <v>21</v>
      </c>
      <c r="C31" s="94" t="s">
        <v>30</v>
      </c>
      <c r="D31" s="80" t="s">
        <v>71</v>
      </c>
      <c r="E31" s="98" t="s">
        <v>72</v>
      </c>
      <c r="F31" s="82"/>
      <c r="G31" s="83">
        <v>1</v>
      </c>
      <c r="H31" s="101">
        <f>22.85+5.13</f>
        <v>27.98</v>
      </c>
      <c r="I31" s="101">
        <f>20.53+6.79</f>
        <v>27.32</v>
      </c>
      <c r="J31" s="101">
        <f>21.94+5.97</f>
        <v>27.91</v>
      </c>
      <c r="K31" s="101"/>
      <c r="L31" s="101"/>
      <c r="M31" s="87">
        <f t="shared" si="8"/>
        <v>27.736666666666665</v>
      </c>
      <c r="N31" s="85">
        <f t="shared" si="1"/>
        <v>31.897166666666664</v>
      </c>
      <c r="O31" s="87">
        <f t="shared" si="2"/>
        <v>27.736666666666665</v>
      </c>
      <c r="P31" s="86">
        <f t="shared" si="3"/>
        <v>112.86268895356433</v>
      </c>
      <c r="Q31" s="102">
        <f t="shared" si="4"/>
        <v>112.86268895356433</v>
      </c>
      <c r="R31" s="87">
        <f t="shared" si="0"/>
        <v>0.71653055555555545</v>
      </c>
      <c r="S31" s="92"/>
      <c r="T31" s="103">
        <f t="shared" si="5"/>
        <v>902.90151162851464</v>
      </c>
      <c r="U31" s="90">
        <f t="shared" si="6"/>
        <v>93</v>
      </c>
      <c r="V31" s="91">
        <f t="shared" si="7"/>
        <v>38.70967741935484</v>
      </c>
    </row>
    <row r="32" spans="2:22" ht="31.5" customHeight="1">
      <c r="D32" s="7" t="s">
        <v>73</v>
      </c>
      <c r="E32" s="104" t="s">
        <v>74</v>
      </c>
      <c r="F32" s="104"/>
      <c r="G32" s="105">
        <f>SUM(G11:G31)</f>
        <v>21</v>
      </c>
      <c r="H32" s="106"/>
      <c r="I32" s="107"/>
      <c r="J32" s="107"/>
      <c r="K32" s="107"/>
      <c r="L32" s="107"/>
      <c r="M32" s="108">
        <f>SUM(M11:M31)</f>
        <v>592.44299999999998</v>
      </c>
      <c r="N32" s="108">
        <f>SUM(N11:N31)</f>
        <v>681.30944999999997</v>
      </c>
      <c r="O32" s="109">
        <f>MAX(O11:O31)</f>
        <v>34.99666666666667</v>
      </c>
      <c r="P32" s="110">
        <f>MAX(P11:P31)</f>
        <v>138.12772978123385</v>
      </c>
      <c r="Q32" s="110">
        <f>MIN(Q11:Q31)</f>
        <v>89.449512790037971</v>
      </c>
      <c r="R32" s="111">
        <f>SUM(R11:R31)</f>
        <v>15.304777500000002</v>
      </c>
      <c r="S32" s="112"/>
      <c r="T32" s="110">
        <f>MIN(T11:T31)</f>
        <v>715.59610232030377</v>
      </c>
      <c r="V32" s="113"/>
    </row>
    <row r="33" spans="12:20" ht="18.75" customHeight="1"/>
    <row r="34" spans="12:20">
      <c r="P34" s="117"/>
    </row>
    <row r="35" spans="12:20" ht="25.15" customHeight="1">
      <c r="M35" s="118" t="s">
        <v>75</v>
      </c>
      <c r="N35" s="119"/>
      <c r="O35" s="119"/>
      <c r="P35" s="119"/>
      <c r="Q35" s="120"/>
      <c r="R35" s="121">
        <f>N32</f>
        <v>681.30944999999997</v>
      </c>
      <c r="S35" s="118" t="s">
        <v>76</v>
      </c>
      <c r="T35" s="120"/>
    </row>
    <row r="36" spans="12:20" ht="25.15" customHeight="1">
      <c r="M36" s="118" t="s">
        <v>77</v>
      </c>
      <c r="N36" s="119"/>
      <c r="O36" s="119"/>
      <c r="P36" s="119"/>
      <c r="Q36" s="120"/>
      <c r="R36" s="122">
        <f>G32</f>
        <v>21</v>
      </c>
      <c r="S36" s="118" t="s">
        <v>78</v>
      </c>
      <c r="T36" s="120"/>
    </row>
    <row r="37" spans="12:20" ht="25.15" customHeight="1">
      <c r="M37" s="118" t="s">
        <v>79</v>
      </c>
      <c r="N37" s="119"/>
      <c r="O37" s="119"/>
      <c r="P37" s="119"/>
      <c r="Q37" s="120"/>
      <c r="R37" s="121">
        <f>R35/R36</f>
        <v>32.443307142857144</v>
      </c>
      <c r="S37" s="123" t="s">
        <v>80</v>
      </c>
      <c r="T37" s="124" t="s">
        <v>76</v>
      </c>
    </row>
    <row r="38" spans="12:20" ht="25.15" customHeight="1">
      <c r="M38" s="118" t="s">
        <v>81</v>
      </c>
      <c r="N38" s="119"/>
      <c r="O38" s="119"/>
      <c r="P38" s="119"/>
      <c r="Q38" s="120"/>
      <c r="R38" s="125">
        <v>28800</v>
      </c>
      <c r="S38" s="123" t="s">
        <v>82</v>
      </c>
      <c r="T38" s="124" t="s">
        <v>76</v>
      </c>
    </row>
    <row r="39" spans="12:20" ht="25.15" customHeight="1">
      <c r="M39" s="118" t="s">
        <v>83</v>
      </c>
      <c r="N39" s="119"/>
      <c r="O39" s="119"/>
      <c r="P39" s="119"/>
      <c r="Q39" s="120"/>
      <c r="R39" s="122">
        <f>ROUND(R38/R35,0)</f>
        <v>42</v>
      </c>
      <c r="S39" s="123" t="s">
        <v>84</v>
      </c>
      <c r="T39" s="124" t="s">
        <v>90</v>
      </c>
    </row>
    <row r="40" spans="12:20" ht="25.15" customHeight="1">
      <c r="M40" s="118" t="s">
        <v>85</v>
      </c>
      <c r="N40" s="119"/>
      <c r="O40" s="119"/>
      <c r="P40" s="119"/>
      <c r="Q40" s="120"/>
      <c r="R40" s="122">
        <f>R36*R39</f>
        <v>882</v>
      </c>
      <c r="S40" s="118" t="s">
        <v>91</v>
      </c>
      <c r="T40" s="120"/>
    </row>
    <row r="41" spans="12:20" ht="25.15" customHeight="1">
      <c r="M41" s="118" t="s">
        <v>86</v>
      </c>
      <c r="N41" s="119"/>
      <c r="O41" s="119"/>
      <c r="P41" s="119"/>
      <c r="Q41" s="120"/>
      <c r="R41" s="122">
        <f>R40/8</f>
        <v>110.25</v>
      </c>
      <c r="S41" s="118" t="s">
        <v>87</v>
      </c>
      <c r="T41" s="120"/>
    </row>
    <row r="42" spans="12:20" ht="25.15" customHeight="1">
      <c r="M42" s="118" t="s">
        <v>88</v>
      </c>
      <c r="N42" s="119"/>
      <c r="O42" s="119"/>
      <c r="P42" s="119"/>
      <c r="Q42" s="120"/>
      <c r="R42" s="122">
        <f>3600/N10</f>
        <v>89.449512790037971</v>
      </c>
      <c r="S42" s="118" t="s">
        <v>87</v>
      </c>
      <c r="T42" s="120"/>
    </row>
    <row r="43" spans="12:20" ht="25.15" customHeight="1">
      <c r="M43" s="118" t="s">
        <v>89</v>
      </c>
      <c r="N43" s="119"/>
      <c r="O43" s="119"/>
      <c r="P43" s="119"/>
      <c r="Q43" s="120"/>
      <c r="R43" s="126">
        <v>93</v>
      </c>
      <c r="S43" s="127" t="s">
        <v>87</v>
      </c>
      <c r="T43" s="128"/>
    </row>
    <row r="44" spans="12:20" ht="3.75" customHeight="1">
      <c r="L44" s="39"/>
    </row>
    <row r="45" spans="12:20" hidden="1"/>
  </sheetData>
  <mergeCells count="43">
    <mergeCell ref="M43:Q43"/>
    <mergeCell ref="S43:T43"/>
    <mergeCell ref="M41:Q41"/>
    <mergeCell ref="S41:T41"/>
    <mergeCell ref="M42:Q42"/>
    <mergeCell ref="S42:T42"/>
    <mergeCell ref="M38:Q38"/>
    <mergeCell ref="M39:Q39"/>
    <mergeCell ref="M40:Q40"/>
    <mergeCell ref="S40:T40"/>
    <mergeCell ref="M36:Q36"/>
    <mergeCell ref="S36:T36"/>
    <mergeCell ref="M37:Q37"/>
    <mergeCell ref="S11:S31"/>
    <mergeCell ref="M35:Q35"/>
    <mergeCell ref="S35:T35"/>
    <mergeCell ref="R7:R10"/>
    <mergeCell ref="S7:S9"/>
    <mergeCell ref="T7:T9"/>
    <mergeCell ref="H7:L9"/>
    <mergeCell ref="M7:M9"/>
    <mergeCell ref="N7:N9"/>
    <mergeCell ref="O7:O9"/>
    <mergeCell ref="P7:P9"/>
    <mergeCell ref="Q7:Q9"/>
    <mergeCell ref="E6:G6"/>
    <mergeCell ref="H6:K6"/>
    <mergeCell ref="B7:B10"/>
    <mergeCell ref="C7:C10"/>
    <mergeCell ref="D7:D10"/>
    <mergeCell ref="E7:E10"/>
    <mergeCell ref="F7:F10"/>
    <mergeCell ref="G7:G9"/>
    <mergeCell ref="E4:G4"/>
    <mergeCell ref="H4:K4"/>
    <mergeCell ref="L4:O6"/>
    <mergeCell ref="E5:G5"/>
    <mergeCell ref="H5:K5"/>
    <mergeCell ref="B2:Q2"/>
    <mergeCell ref="R2:T6"/>
    <mergeCell ref="E3:G3"/>
    <mergeCell ref="H3:K3"/>
    <mergeCell ref="L3:O3"/>
  </mergeCells>
  <printOptions horizontalCentered="1"/>
  <pageMargins left="0" right="0" top="0.348031496062992" bottom="0" header="0.2" footer="0"/>
  <pageSetup paperSize="9" scale="8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LB Livlig</vt:lpstr>
      <vt:lpstr>'LB Livlig'!Print_Area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Shelford</dc:creator>
  <cp:lastModifiedBy>Shelford</cp:lastModifiedBy>
  <dcterms:created xsi:type="dcterms:W3CDTF">2026-09-28T02:37:09Z</dcterms:created>
  <dcterms:modified xsi:type="dcterms:W3CDTF">2026-09-28T16:43:01Z</dcterms:modified>
</cp:coreProperties>
</file>