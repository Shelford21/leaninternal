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B Livlig" sheetId="1" r:id="rId4"/>
  </sheets>
  <definedNames>
    <definedName name="_xlnm.Print_Area" localSheetId="0">'LB Livlig'!$B$7:$T$43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<sst xmlns="http://schemas.openxmlformats.org/spreadsheetml/2006/main" uniqueCount="90">
  <si>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LINE BALANCING SEWING</t>
  </si>
  <si>
    <t>Line</t>
  </si>
  <si>
    <t>Quty 1 C4</t>
  </si>
  <si>
    <t>PPH</t>
  </si>
  <si>
    <t>Article</t>
  </si>
  <si>
    <t>Livlig Husky</t>
  </si>
  <si>
    <t>Update</t>
  </si>
  <si>
    <t>No</t>
  </si>
  <si>
    <t>Machine</t>
  </si>
  <si>
    <t>Process</t>
  </si>
  <si>
    <t>Name</t>
  </si>
  <si>
    <t>Joint process</t>
  </si>
  <si>
    <t>Operator</t>
  </si>
  <si>
    <t>Cycle Time</t>
  </si>
  <si>
    <t>Average Cycle Time</t>
  </si>
  <si>
    <t>Average Cycle Time + Allowance 15 %</t>
  </si>
  <si>
    <t>Average CT / Process</t>
  </si>
  <si>
    <t>Output / Hours</t>
  </si>
  <si>
    <t>Output Process / Hours</t>
  </si>
  <si>
    <t>Request Operator</t>
  </si>
  <si>
    <t>Average Output/ Hour</t>
  </si>
  <si>
    <t>Potential Output/Process</t>
  </si>
  <si>
    <t>Total</t>
  </si>
  <si>
    <t>TOTAL CYCLE TIME</t>
  </si>
  <si>
    <t>TOTAL MANPOWER</t>
  </si>
  <si>
    <t>AVERAGE STANDARD TIME</t>
  </si>
  <si>
    <t>TOTAL WORKING TIME</t>
  </si>
  <si>
    <t>TARGET PER PCS</t>
  </si>
  <si>
    <t>TARGET LINE PER DAY</t>
  </si>
  <si>
    <t>TARGET LINE PER HOUR</t>
  </si>
  <si>
    <t>MAXIMUM BASE ON CYLE TIME</t>
  </si>
  <si>
    <t>OUTPUT ACTUAL</t>
  </si>
  <si>
    <t>SEC</t>
  </si>
  <si>
    <t>PERSON</t>
  </si>
  <si>
    <t>PCS/ DAY</t>
  </si>
  <si>
    <t>PCS/HOUR</t>
  </si>
  <si>
    <t>PT. QUTY KARUNIA</t>
  </si>
  <si>
    <t>Target Output /Hours</t>
  </si>
  <si>
    <t>LEAN &amp; IE DEPARTEMENT</t>
  </si>
  <si>
    <t>Target Output / Day</t>
  </si>
  <si>
    <t>CYCLE TIME ANALYZE</t>
  </si>
  <si>
    <t>Time 1 Hours</t>
  </si>
  <si>
    <t>Takt Time</t>
  </si>
  <si>
    <t>SNLS</t>
  </si>
  <si>
    <t>Kupnat badan depan + Jahit ekor awal</t>
  </si>
  <si>
    <t>Ujang S</t>
  </si>
  <si>
    <t>Jahit paha dalam awal kiri &amp; kanan + Jahit tangan kanan</t>
  </si>
  <si>
    <t>Dede Wiwin</t>
  </si>
  <si>
    <t>Jahit tangan dalam kiri dan kanan + Jahit paha dalam kiri dan kanan</t>
  </si>
  <si>
    <t>Nunung</t>
  </si>
  <si>
    <t>Gabung badan depan ke dada + Gabung badan samping kiri &amp; kanan</t>
  </si>
  <si>
    <t>Supendi</t>
  </si>
  <si>
    <t>Pasang tangan kiri &amp; kanan ke body</t>
  </si>
  <si>
    <t>Winda</t>
  </si>
  <si>
    <t>Tutup badan samping kiri &amp; kanan</t>
  </si>
  <si>
    <t>Marna</t>
  </si>
  <si>
    <t>Pasang paha kiri &amp; kanan ke body</t>
  </si>
  <si>
    <t>Linda</t>
  </si>
  <si>
    <t>Tutup ekor + Gabung ekor ke body + Tutup punggung</t>
  </si>
  <si>
    <t>Dewi Enggar</t>
  </si>
  <si>
    <t>Jahit tangan awal kiri + Pasang label &amp; tutup pantat</t>
  </si>
  <si>
    <t>Irnawati</t>
  </si>
  <si>
    <t>Pasang telapak 3x</t>
  </si>
  <si>
    <t>Ucih</t>
  </si>
  <si>
    <t>Gabung kepala ke badan + Pasang telapak 1x + Tutup punggung</t>
  </si>
  <si>
    <t>Cucu H</t>
  </si>
  <si>
    <t>Pasang spot kiri &amp; kanan</t>
  </si>
  <si>
    <t>Hasan</t>
  </si>
  <si>
    <t>Jahit telinga awal kiri &amp; kanan + Stik telinga kiri &amp; kanan</t>
  </si>
  <si>
    <t>Munasipa</t>
  </si>
  <si>
    <t>Pasang lidah ke bibir + Stik lidah + Kupnat tangan kiri &amp; kanan</t>
  </si>
  <si>
    <t>Ardi Wijaya</t>
  </si>
  <si>
    <t>Pasang kening ke pipi kiri &amp; kanan + Jahit dagu</t>
  </si>
  <si>
    <t>Edeh Komala</t>
  </si>
  <si>
    <t>Kupnat paha kiri &amp; kanan + Pasang Embo mata ke pipi kiri &amp; kanan</t>
  </si>
  <si>
    <t>Milata</t>
  </si>
  <si>
    <t>Pasang telinga kiri &amp; kanan + Pasang dagu</t>
  </si>
  <si>
    <t>Nani</t>
  </si>
  <si>
    <t>Pasang + lipat hidung + Pasang Tc ke batang hidung</t>
  </si>
  <si>
    <t>Alit</t>
  </si>
  <si>
    <t>Kupnat pipi kiri &amp; kakan + Pasang pipi ke muka + Kupnat dada</t>
  </si>
  <si>
    <t>Itoh</t>
  </si>
  <si>
    <t>Gabung lidah ke mulut + pasang mulut embo mata + kupnat dagu</t>
  </si>
  <si>
    <t>Nurhasanah</t>
  </si>
  <si>
    <t>Gabung kepala belakang kiri dan kanan + Gambung kepala belakang ke muka</t>
  </si>
  <si>
    <t>Amanan Mulyanan</t>
  </si>
  <si>
    <t>SEC / PERSON</t>
  </si>
  <si>
    <t>SEC / DAY / PERSON</t>
  </si>
  <si>
    <t>PCS / DAY / PERSON</t>
  </si>
  <si>
    <t>PCS</t>
  </si>
</sst>
</file>

<file path=xl/styles.xml><?xml version="1.0" encoding="utf-8"?>
<styleSheet xmlns="http://schemas.openxmlformats.org/spreadsheetml/2006/main" xml:space="preserve">
  <numFmts count="2">
    <numFmt numFmtId="164" formatCode="0 &quot; Pcs &quot;"/>
    <numFmt numFmtId="165" formatCode="d mmmm yyyy"/>
  </numFmts>
  <fonts count="1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1F4E79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2F5597"/>
        <bgColor rgb="FF2F5597"/>
      </patternFill>
    </fill>
    <fill>
      <patternFill patternType="solid">
        <fgColor rgb="FF5B9BD5"/>
        <bgColor rgb="FF5B9BD5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164" fillId="4" borderId="1" applyFont="1" applyNumberFormat="1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2" fillId="5" borderId="1" applyFont="1" applyNumberFormat="1" applyFill="1" applyBorder="1" applyAlignment="1">
      <alignment horizontal="center" vertical="center" textRotation="0" wrapText="true" shrinkToFit="false"/>
    </xf>
    <xf xfId="0" fontId="6" numFmtId="1" fillId="4" borderId="1" applyFont="1" applyNumberFormat="1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165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2" fillId="3" borderId="1" applyFont="1" applyNumberFormat="1" applyFill="1" applyBorder="1" applyAlignment="1">
      <alignment horizontal="center" vertical="center" textRotation="0" wrapText="true" shrinkToFit="false"/>
    </xf>
    <xf xfId="0" fontId="6" numFmtId="2" fillId="4" borderId="1" applyFont="1" applyNumberFormat="1" applyFill="1" applyBorder="1" applyAlignment="1">
      <alignment horizontal="center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" fillId="6" borderId="1" applyFont="1" applyNumberFormat="1" applyFill="1" applyBorder="1" applyAlignment="1">
      <alignment horizontal="center" vertical="center" textRotation="0" wrapText="true" shrinkToFit="false"/>
    </xf>
    <xf xfId="0" fontId="9" numFmtId="0" fillId="7" borderId="1" applyFont="1" applyNumberFormat="0" applyFill="1" applyBorder="1" applyAlignment="1">
      <alignment horizontal="center" vertical="center" textRotation="0" wrapText="true" shrinkToFit="false"/>
    </xf>
    <xf xfId="0" fontId="10" numFmtId="0" fillId="8" borderId="1" applyFont="1" applyNumberFormat="0" applyFill="1" applyBorder="1" applyAlignment="1">
      <alignment horizontal="center" vertical="center" textRotation="0" wrapText="true" shrinkToFit="false"/>
    </xf>
    <xf xfId="0" fontId="5" numFmtId="0" fillId="6" borderId="1" applyFont="1" applyNumberFormat="0" applyFill="1" applyBorder="1" applyAlignment="1">
      <alignment horizontal="center" vertical="center" textRotation="0" wrapText="true" shrinkToFit="false"/>
    </xf>
    <xf xfId="0" fontId="9" numFmtId="0" fillId="6" borderId="1" applyFont="1" applyNumberFormat="0" applyFill="1" applyBorder="1" applyAlignment="1">
      <alignment horizontal="center" vertical="center" textRotation="0" wrapText="true" shrinkToFit="false"/>
    </xf>
    <xf xfId="0" fontId="5" numFmtId="2" fillId="6" borderId="1" applyFont="1" applyNumberFormat="1" applyFill="1" applyBorder="1" applyAlignment="1">
      <alignment horizontal="center" vertical="center" textRotation="0" wrapText="true" shrinkToFit="false"/>
    </xf>
    <xf xfId="0" fontId="5" numFmtId="1" fillId="6" borderId="1" applyFont="1" applyNumberFormat="1" applyFill="1" applyBorder="1" applyAlignment="1">
      <alignment horizontal="center" vertical="center" textRotation="0" wrapText="true" shrinkToFit="false"/>
    </xf>
    <xf xfId="0" fontId="11" numFmtId="0" fillId="0" borderId="1" applyFont="1" applyNumberFormat="0" applyFill="0" applyBorder="1" applyAlignment="1">
      <alignment horizontal="center" vertical="center" textRotation="0" wrapText="true" shrinkToFit="false"/>
    </xf>
    <xf xfId="0" fontId="11" numFmtId="0" fillId="0" borderId="1" applyFont="1" applyNumberFormat="0" applyFill="0" applyBorder="1" applyAlignment="1">
      <alignment horizontal="left" vertical="center" textRotation="0" wrapText="true" shrinkToFit="false"/>
    </xf>
    <xf xfId="0" fontId="11" numFmtId="1" fillId="0" borderId="1" applyFont="1" applyNumberFormat="1" applyFill="0" applyBorder="1" applyAlignment="1">
      <alignment horizontal="center" vertical="center" textRotation="0" wrapText="true" shrinkToFit="false"/>
    </xf>
    <xf xfId="0" fontId="12" numFmtId="2" fillId="0" borderId="1" applyFont="1" applyNumberFormat="1" applyFill="0" applyBorder="1" applyAlignment="1">
      <alignment horizontal="center" vertical="center" textRotation="0" wrapText="true" shrinkToFit="false"/>
    </xf>
    <xf xfId="0" fontId="12" numFmtId="2" fillId="9" borderId="1" applyFont="1" applyNumberFormat="1" applyFill="1" applyBorder="1" applyAlignment="1">
      <alignment horizontal="center" vertical="center" textRotation="0" wrapText="true" shrinkToFit="false"/>
    </xf>
    <xf xfId="0" fontId="12" numFmtId="1" fillId="10" borderId="1" applyFont="1" applyNumberFormat="1" applyFill="1" applyBorder="1" applyAlignment="1">
      <alignment horizontal="center" vertical="center" textRotation="0" wrapText="true" shrinkToFit="false"/>
    </xf>
    <xf xfId="0" fontId="13" numFmtId="1" fillId="0" borderId="1" applyFont="1" applyNumberFormat="1" applyFill="0" applyBorder="1" applyAlignment="1">
      <alignment horizontal="center" vertical="center" textRotation="0" wrapText="true" shrinkToFit="false"/>
    </xf>
    <xf xfId="0" fontId="12" numFmtId="1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true" shrinkToFit="false"/>
    </xf>
    <xf xfId="0" fontId="6" numFmtId="1" fillId="6" borderId="1" applyFont="1" applyNumberFormat="1" applyFill="1" applyBorder="1" applyAlignment="1">
      <alignment horizontal="center" vertical="center" textRotation="0" wrapText="true" shrinkToFit="false"/>
    </xf>
    <xf xfId="0" fontId="6" numFmtId="2" fillId="6" borderId="1" applyFont="1" applyNumberFormat="1" applyFill="1" applyBorder="1" applyAlignment="1">
      <alignment horizontal="center" vertical="center" textRotation="0" wrapText="true" shrinkToFit="false"/>
    </xf>
    <xf xfId="0" fontId="14" numFmtId="2" fillId="4" borderId="1" applyFont="1" applyNumberFormat="1" applyFill="1" applyBorder="1" applyAlignment="1">
      <alignment horizontal="center" vertical="center" textRotation="0" wrapText="true" shrinkToFit="false"/>
    </xf>
    <xf xfId="0" fontId="15" numFmtId="0" fillId="6" borderId="1" applyFont="1" applyNumberFormat="0" applyFill="1" applyBorder="1" applyAlignment="1">
      <alignment horizontal="center" vertical="center" textRotation="0" wrapText="true" shrinkToFit="false"/>
    </xf>
    <xf xfId="0" fontId="14" numFmtId="1" fillId="4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Yamazumi Chart Before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'LB Livlig'!$B$11:$B$31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'LB Livlig'!$P$11:$P$31</c:f>
              <c:numCache>
                <c:ptCount val="21"/>
                <c:pt idx="0">
                  <c:v>111.62848386813</c:v>
                </c:pt>
                <c:pt idx="1">
                  <c:v>125.41806020067</c:v>
                </c:pt>
                <c:pt idx="2">
                  <c:v>92.918812187851</c:v>
                </c:pt>
                <c:pt idx="3">
                  <c:v>115.69920349669</c:v>
                </c:pt>
                <c:pt idx="4">
                  <c:v>121.42881235875</c:v>
                </c:pt>
                <c:pt idx="5">
                  <c:v>89.449512790038</c:v>
                </c:pt>
                <c:pt idx="6">
                  <c:v>100.56006368804</c:v>
                </c:pt>
                <c:pt idx="7">
                  <c:v>127.16728974714</c:v>
                </c:pt>
                <c:pt idx="8">
                  <c:v>123.35878560129</c:v>
                </c:pt>
                <c:pt idx="9">
                  <c:v>102.65964525389</c:v>
                </c:pt>
                <c:pt idx="10">
                  <c:v>98.856875838968</c:v>
                </c:pt>
                <c:pt idx="11">
                  <c:v>101.76966133318</c:v>
                </c:pt>
                <c:pt idx="12">
                  <c:v>138.12772978123</c:v>
                </c:pt>
                <c:pt idx="13">
                  <c:v>122.20304941869</c:v>
                </c:pt>
                <c:pt idx="14">
                  <c:v>118.57707509881</c:v>
                </c:pt>
                <c:pt idx="15">
                  <c:v>117.28867675566</c:v>
                </c:pt>
                <c:pt idx="16">
                  <c:v>120.03200853561</c:v>
                </c:pt>
                <c:pt idx="17">
                  <c:v>104.96595895637</c:v>
                </c:pt>
                <c:pt idx="18">
                  <c:v>110.17485156999</c:v>
                </c:pt>
                <c:pt idx="19">
                  <c:v>102.80573998715</c:v>
                </c:pt>
                <c:pt idx="20">
                  <c:v>112.86268895356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0</xdr:rowOff>
    </xdr:from>
    <xdr:to>
      <xdr:col>19</xdr:col>
      <xdr:colOff>95250</xdr:colOff>
      <xdr:row>67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4"/>
  <sheetViews>
    <sheetView tabSelected="1" workbookViewId="0" showGridLines="true" showRowColHeaders="1">
      <selection activeCell="T39" sqref="T39"/>
    </sheetView>
  </sheetViews>
  <sheetFormatPr defaultRowHeight="14.4" outlineLevelRow="0" outlineLevelCol="0"/>
  <cols>
    <col min="1" max="1" width="2.5703125" customWidth="true" style="0"/>
    <col min="2" max="2" width="5.85546875" customWidth="true" style="0"/>
    <col min="3" max="3" width="12.7109375" customWidth="true" style="0"/>
    <col min="4" max="4" width="76.42578125" customWidth="true" style="0"/>
    <col min="5" max="5" width="19.85546875" customWidth="true" style="0"/>
    <col min="6" max="6" width="14.140625" hidden="true" customWidth="true" style="0"/>
    <col min="7" max="7" width="13.42578125" customWidth="true" style="0"/>
    <col min="8" max="8" width="7.710937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4.28515625" customWidth="true" style="0"/>
    <col min="14" max="14" width="13" customWidth="true" style="0"/>
    <col min="15" max="15" width="14" customWidth="true" style="0"/>
    <col min="16" max="16" width="19.28515625" customWidth="true" style="0"/>
    <col min="17" max="17" width="13.5703125" customWidth="true" style="0"/>
    <col min="18" max="18" width="13" customWidth="true" style="0"/>
    <col min="19" max="19" width="16.5703125" hidden="true" customWidth="true" style="0"/>
    <col min="20" max="20" width="22.28515625" customWidth="true" style="0"/>
    <col min="21" max="21" width="13" customWidth="true" style="0"/>
    <col min="22" max="22" width="14.28515625" customWidth="true" style="0"/>
  </cols>
  <sheetData>
    <row r="2" spans="1:22" customHeight="1" ht="23.25">
      <c r="B2" s="1" t="s">
        <v>0</v>
      </c>
    </row>
    <row r="3" spans="1:22" customHeight="1" ht="43.15">
      <c r="D3" s="2" t="s">
        <v>36</v>
      </c>
      <c r="E3" s="3" t="s">
        <v>1</v>
      </c>
      <c r="F3" s="3"/>
      <c r="G3" s="3"/>
      <c r="H3" s="4" t="s">
        <v>2</v>
      </c>
      <c r="I3" s="4"/>
      <c r="J3" s="4"/>
      <c r="K3" s="4"/>
      <c r="L3" s="3" t="s">
        <v>3</v>
      </c>
      <c r="M3" s="3"/>
      <c r="N3" s="3"/>
      <c r="O3" s="3"/>
      <c r="P3" s="5" t="s">
        <v>37</v>
      </c>
      <c r="Q3" s="6">
        <v>93</v>
      </c>
    </row>
    <row r="4" spans="1:22" customHeight="1" ht="31.5">
      <c r="D4" s="7" t="s">
        <v>38</v>
      </c>
      <c r="E4" s="3" t="s">
        <v>4</v>
      </c>
      <c r="F4" s="3"/>
      <c r="G4" s="3"/>
      <c r="H4" s="4" t="s">
        <v>5</v>
      </c>
      <c r="I4" s="4"/>
      <c r="J4" s="4"/>
      <c r="K4" s="4"/>
      <c r="L4" s="9">
        <f>Q3/H6</f>
        <v>4.4285714285714</v>
      </c>
      <c r="M4" s="8"/>
      <c r="N4" s="8"/>
      <c r="O4" s="8"/>
      <c r="P4" s="5" t="s">
        <v>39</v>
      </c>
      <c r="Q4" s="10">
        <f>Q3*8</f>
        <v>744</v>
      </c>
    </row>
    <row r="5" spans="1:22" customHeight="1" ht="21">
      <c r="D5" s="11" t="s">
        <v>40</v>
      </c>
      <c r="E5" s="3" t="s">
        <v>6</v>
      </c>
      <c r="F5" s="3"/>
      <c r="G5" s="3"/>
      <c r="H5" s="12">
        <v>45372.0</v>
      </c>
      <c r="I5" s="4"/>
      <c r="J5" s="4"/>
      <c r="K5" s="4"/>
      <c r="L5" s="8"/>
      <c r="M5" s="8"/>
      <c r="N5" s="8"/>
      <c r="O5" s="8"/>
      <c r="P5" s="5" t="s">
        <v>41</v>
      </c>
      <c r="Q5" s="10">
        <v>3600</v>
      </c>
    </row>
    <row r="6" spans="1:22" customHeight="1" ht="21.75">
      <c r="D6" s="13"/>
      <c r="E6" s="13"/>
      <c r="F6" s="13"/>
      <c r="G6" s="13"/>
      <c r="H6" s="14">
        <f>G32</f>
        <v>21</v>
      </c>
      <c r="I6" s="3"/>
      <c r="J6" s="3"/>
      <c r="K6" s="3"/>
      <c r="L6" s="8"/>
      <c r="M6" s="8"/>
      <c r="N6" s="8"/>
      <c r="O6" s="8"/>
      <c r="P6" s="5" t="s">
        <v>42</v>
      </c>
      <c r="Q6" s="15">
        <f>Q5/Q3</f>
        <v>38.709677419355</v>
      </c>
    </row>
    <row r="7" spans="1:22" customHeight="1" ht="22.15">
      <c r="B7" s="16" t="s">
        <v>7</v>
      </c>
      <c r="C7" s="16" t="s">
        <v>8</v>
      </c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/>
      <c r="J7" s="16"/>
      <c r="K7" s="16"/>
      <c r="L7" s="16"/>
      <c r="M7" s="19" t="s">
        <v>14</v>
      </c>
      <c r="N7" s="18" t="s">
        <v>15</v>
      </c>
      <c r="O7" s="19" t="s">
        <v>16</v>
      </c>
      <c r="P7" s="19" t="s">
        <v>17</v>
      </c>
      <c r="Q7" s="19" t="s">
        <v>18</v>
      </c>
      <c r="R7" s="16" t="s">
        <v>19</v>
      </c>
      <c r="S7" s="16" t="s">
        <v>20</v>
      </c>
      <c r="T7" s="16" t="s">
        <v>21</v>
      </c>
    </row>
    <row r="8" spans="1:22" customHeight="1" ht="27.6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9"/>
      <c r="N8" s="18"/>
      <c r="O8" s="19"/>
      <c r="P8" s="19"/>
      <c r="Q8" s="19"/>
      <c r="R8" s="16"/>
      <c r="S8" s="16"/>
      <c r="T8" s="16"/>
    </row>
    <row r="9" spans="1:22" customHeight="1" ht="36.7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9"/>
      <c r="N9" s="18"/>
      <c r="O9" s="19"/>
      <c r="P9" s="19"/>
      <c r="Q9" s="19"/>
      <c r="R9" s="16"/>
      <c r="S9" s="16"/>
      <c r="T9" s="16"/>
    </row>
    <row r="10" spans="1:22" customHeight="1" ht="24">
      <c r="B10" s="16"/>
      <c r="C10" s="16"/>
      <c r="D10" s="16"/>
      <c r="E10" s="16"/>
      <c r="F10" s="16"/>
      <c r="G10" s="17">
        <f>SUM(G11)</f>
        <v>1</v>
      </c>
      <c r="H10" s="18">
        <v>1</v>
      </c>
      <c r="I10" s="18">
        <v>2</v>
      </c>
      <c r="J10" s="18">
        <v>3</v>
      </c>
      <c r="K10" s="18">
        <v>4</v>
      </c>
      <c r="L10" s="18">
        <v>5</v>
      </c>
      <c r="M10" s="20"/>
      <c r="N10" s="22">
        <f>MAX(N11)</f>
        <v>32.249833333333</v>
      </c>
      <c r="O10" s="22">
        <f>MAX(O11)</f>
        <v>28.043333333333</v>
      </c>
      <c r="P10" s="23">
        <f>MAX(P11)</f>
        <v>111.62848386813</v>
      </c>
      <c r="Q10" s="23">
        <f>MIN(Q11)</f>
        <v>111.62848386813</v>
      </c>
      <c r="R10" s="21"/>
      <c r="S10" s="20"/>
      <c r="T10" s="23">
        <f>MIN(T11)</f>
        <v>893.02787094507</v>
      </c>
    </row>
    <row r="11" spans="1:22" customHeight="1" ht="25.15">
      <c r="B11" s="24">
        <v>1</v>
      </c>
      <c r="C11" s="24" t="s">
        <v>43</v>
      </c>
      <c r="D11" s="25" t="s">
        <v>44</v>
      </c>
      <c r="E11" s="24" t="s">
        <v>45</v>
      </c>
      <c r="F11" s="24"/>
      <c r="G11" s="26">
        <v>1</v>
      </c>
      <c r="H11" s="27">
        <f>6.65+21.13</f>
        <v>27.78</v>
      </c>
      <c r="I11" s="27">
        <f>6.82+21.78</f>
        <v>28.6</v>
      </c>
      <c r="J11" s="27">
        <f>6.4+21.35</f>
        <v>27.75</v>
      </c>
      <c r="K11" s="27"/>
      <c r="L11" s="27"/>
      <c r="M11" s="28">
        <f>AVERAGE(H11:L11)</f>
        <v>28.043333333333</v>
      </c>
      <c r="N11" s="28">
        <f>M11*1.15</f>
        <v>32.249833333333</v>
      </c>
      <c r="O11" s="28">
        <f>M11</f>
        <v>28.043333333333</v>
      </c>
      <c r="P11" s="29">
        <f>3600/N11</f>
        <v>111.62848386813</v>
      </c>
      <c r="Q11" s="29">
        <f>P11</f>
        <v>111.62848386813</v>
      </c>
      <c r="R11" s="27">
        <f>O11/$Q$6</f>
        <v>0.72445277777778</v>
      </c>
      <c r="S11" s="30"/>
      <c r="T11" s="31">
        <f>Q11*8</f>
        <v>893.02787094507</v>
      </c>
    </row>
    <row r="12" spans="1:22" customHeight="1" ht="25.15">
      <c r="B12" s="24">
        <v>2</v>
      </c>
      <c r="C12" s="24" t="s">
        <v>43</v>
      </c>
      <c r="D12" s="25" t="s">
        <v>46</v>
      </c>
      <c r="E12" s="24" t="s">
        <v>47</v>
      </c>
      <c r="F12" s="24"/>
      <c r="G12" s="26">
        <v>1</v>
      </c>
      <c r="H12" s="27">
        <f>17.82+6.91</f>
        <v>24.73</v>
      </c>
      <c r="I12" s="27">
        <f>17.09+7.56</f>
        <v>24.65</v>
      </c>
      <c r="J12" s="27">
        <f>17.81+7.69</f>
        <v>25.5</v>
      </c>
      <c r="K12" s="27"/>
      <c r="L12" s="27"/>
      <c r="M12" s="28">
        <f>AVERAGE(H12:L12)</f>
        <v>24.96</v>
      </c>
      <c r="N12" s="28">
        <f>M12*1.15</f>
        <v>28.704</v>
      </c>
      <c r="O12" s="28">
        <f>M12</f>
        <v>24.96</v>
      </c>
      <c r="P12" s="29">
        <f>3600/N12</f>
        <v>125.41806020067</v>
      </c>
      <c r="Q12" s="29">
        <f>P12</f>
        <v>125.41806020067</v>
      </c>
      <c r="R12" s="27">
        <f>O12/$Q$6</f>
        <v>0.6448</v>
      </c>
      <c r="S12" s="30"/>
      <c r="T12" s="31">
        <f>Q12*8</f>
        <v>1003.3444816054</v>
      </c>
    </row>
    <row r="13" spans="1:22" customHeight="1" ht="25.15">
      <c r="B13" s="24">
        <v>3</v>
      </c>
      <c r="C13" s="24" t="s">
        <v>43</v>
      </c>
      <c r="D13" s="25" t="s">
        <v>48</v>
      </c>
      <c r="E13" s="24" t="s">
        <v>49</v>
      </c>
      <c r="F13" s="24"/>
      <c r="G13" s="26">
        <v>1</v>
      </c>
      <c r="H13" s="27">
        <f>17.66+16.57</f>
        <v>34.23</v>
      </c>
      <c r="I13" s="27">
        <f>18.09+15.65</f>
        <v>33.74</v>
      </c>
      <c r="J13" s="27">
        <f>17.05+16.05</f>
        <v>33.1</v>
      </c>
      <c r="K13" s="27"/>
      <c r="L13" s="27"/>
      <c r="M13" s="28">
        <f>AVERAGE(H13:L13)</f>
        <v>33.69</v>
      </c>
      <c r="N13" s="28">
        <f>M13*1.15</f>
        <v>38.7435</v>
      </c>
      <c r="O13" s="28">
        <f>M13</f>
        <v>33.69</v>
      </c>
      <c r="P13" s="29">
        <f>3600/N13</f>
        <v>92.918812187851</v>
      </c>
      <c r="Q13" s="29">
        <f>P13</f>
        <v>92.918812187851</v>
      </c>
      <c r="R13" s="27">
        <f>O13/$Q$6</f>
        <v>0.870325</v>
      </c>
      <c r="S13" s="30"/>
      <c r="T13" s="31">
        <f>Q13*8</f>
        <v>743.35049750281</v>
      </c>
    </row>
    <row r="14" spans="1:22" customHeight="1" ht="25.15">
      <c r="B14" s="24">
        <v>4</v>
      </c>
      <c r="C14" s="24" t="s">
        <v>43</v>
      </c>
      <c r="D14" s="25" t="s">
        <v>50</v>
      </c>
      <c r="E14" s="24" t="s">
        <v>51</v>
      </c>
      <c r="F14" s="24"/>
      <c r="G14" s="26">
        <v>1</v>
      </c>
      <c r="H14" s="27">
        <f>8.32+18.47</f>
        <v>26.79</v>
      </c>
      <c r="I14" s="27">
        <f>8.75+18.81</f>
        <v>27.56</v>
      </c>
      <c r="J14" s="27">
        <f>8.25+18.57</f>
        <v>26.82</v>
      </c>
      <c r="K14" s="27"/>
      <c r="L14" s="27"/>
      <c r="M14" s="28">
        <f>AVERAGE(H14:L14)</f>
        <v>27.056666666667</v>
      </c>
      <c r="N14" s="28">
        <f>M14*1.15</f>
        <v>31.115166666667</v>
      </c>
      <c r="O14" s="28">
        <f>M14</f>
        <v>27.056666666667</v>
      </c>
      <c r="P14" s="29">
        <f>3600/N14</f>
        <v>115.69920349669</v>
      </c>
      <c r="Q14" s="29">
        <f>P14</f>
        <v>115.69920349669</v>
      </c>
      <c r="R14" s="27">
        <f>O14/$Q$6</f>
        <v>0.69896388888889</v>
      </c>
      <c r="S14" s="30"/>
      <c r="T14" s="31">
        <f>Q14*8</f>
        <v>925.5936279735</v>
      </c>
    </row>
    <row r="15" spans="1:22" customHeight="1" ht="25.15">
      <c r="B15" s="24">
        <v>5</v>
      </c>
      <c r="C15" s="24" t="s">
        <v>43</v>
      </c>
      <c r="D15" s="25" t="s">
        <v>52</v>
      </c>
      <c r="E15" s="24" t="s">
        <v>53</v>
      </c>
      <c r="F15" s="24"/>
      <c r="G15" s="26">
        <v>1</v>
      </c>
      <c r="H15" s="27">
        <v>25.56</v>
      </c>
      <c r="I15" s="27">
        <v>25.16</v>
      </c>
      <c r="J15" s="27">
        <v>26.62</v>
      </c>
      <c r="K15" s="27"/>
      <c r="L15" s="27"/>
      <c r="M15" s="28">
        <f>AVERAGE(H15:L15)</f>
        <v>25.78</v>
      </c>
      <c r="N15" s="28">
        <f>M15*1.15</f>
        <v>29.647</v>
      </c>
      <c r="O15" s="28">
        <f>M15</f>
        <v>25.78</v>
      </c>
      <c r="P15" s="29">
        <f>3600/N15</f>
        <v>121.42881235875</v>
      </c>
      <c r="Q15" s="29">
        <f>P15</f>
        <v>121.42881235875</v>
      </c>
      <c r="R15" s="27">
        <f>O15/$Q$6</f>
        <v>0.66598333333333</v>
      </c>
      <c r="S15" s="30"/>
      <c r="T15" s="31">
        <f>Q15*8</f>
        <v>971.43049887004</v>
      </c>
    </row>
    <row r="16" spans="1:22" customHeight="1" ht="25.15">
      <c r="B16" s="24">
        <v>6</v>
      </c>
      <c r="C16" s="24" t="s">
        <v>43</v>
      </c>
      <c r="D16" s="25" t="s">
        <v>54</v>
      </c>
      <c r="E16" s="24" t="s">
        <v>55</v>
      </c>
      <c r="F16" s="24"/>
      <c r="G16" s="26">
        <v>1</v>
      </c>
      <c r="H16" s="27">
        <v>35.47</v>
      </c>
      <c r="I16" s="27">
        <v>35.21</v>
      </c>
      <c r="J16" s="27">
        <v>34.31</v>
      </c>
      <c r="K16" s="27"/>
      <c r="L16" s="27"/>
      <c r="M16" s="28">
        <f>AVERAGE(H16:L16)</f>
        <v>34.996666666667</v>
      </c>
      <c r="N16" s="28">
        <f>M16*1.15</f>
        <v>40.246166666667</v>
      </c>
      <c r="O16" s="28">
        <f>M16</f>
        <v>34.996666666667</v>
      </c>
      <c r="P16" s="29">
        <f>3600/N16</f>
        <v>89.449512790038</v>
      </c>
      <c r="Q16" s="29">
        <f>P16</f>
        <v>89.449512790038</v>
      </c>
      <c r="R16" s="27">
        <f>O16/$Q$6</f>
        <v>0.90408055555556</v>
      </c>
      <c r="S16" s="30"/>
      <c r="T16" s="31">
        <f>Q16*8</f>
        <v>715.5961023203</v>
      </c>
    </row>
    <row r="17" spans="1:22" customHeight="1" ht="28.5">
      <c r="B17" s="24">
        <v>7</v>
      </c>
      <c r="C17" s="24" t="s">
        <v>43</v>
      </c>
      <c r="D17" s="25" t="s">
        <v>56</v>
      </c>
      <c r="E17" s="24" t="s">
        <v>57</v>
      </c>
      <c r="F17" s="24"/>
      <c r="G17" s="26">
        <v>1</v>
      </c>
      <c r="H17" s="27">
        <v>31.69</v>
      </c>
      <c r="I17" s="27">
        <v>31.2</v>
      </c>
      <c r="J17" s="27">
        <v>30.5</v>
      </c>
      <c r="K17" s="27"/>
      <c r="L17" s="27"/>
      <c r="M17" s="28">
        <f>AVERAGE(H17:L17)</f>
        <v>31.13</v>
      </c>
      <c r="N17" s="28">
        <f>M17*1.15</f>
        <v>35.7995</v>
      </c>
      <c r="O17" s="28">
        <f>M17</f>
        <v>31.13</v>
      </c>
      <c r="P17" s="29">
        <f>3600/N17</f>
        <v>100.56006368804</v>
      </c>
      <c r="Q17" s="29">
        <f>P17</f>
        <v>100.56006368804</v>
      </c>
      <c r="R17" s="27">
        <f>O17/$Q$6</f>
        <v>0.80419166666667</v>
      </c>
      <c r="S17" s="30"/>
      <c r="T17" s="31">
        <f>Q17*8</f>
        <v>804.48050950432</v>
      </c>
    </row>
    <row r="18" spans="1:22" customHeight="1" ht="25.15">
      <c r="B18" s="24">
        <v>8</v>
      </c>
      <c r="C18" s="24" t="s">
        <v>43</v>
      </c>
      <c r="D18" s="25" t="s">
        <v>58</v>
      </c>
      <c r="E18" s="24" t="s">
        <v>59</v>
      </c>
      <c r="F18" s="24"/>
      <c r="G18" s="26">
        <v>1</v>
      </c>
      <c r="H18" s="27">
        <v>25.26</v>
      </c>
      <c r="I18" s="27">
        <v>24.31</v>
      </c>
      <c r="J18" s="27">
        <v>24.28</v>
      </c>
      <c r="K18" s="27"/>
      <c r="L18" s="27"/>
      <c r="M18" s="28">
        <f>AVERAGE(H18:L18)</f>
        <v>24.616666666667</v>
      </c>
      <c r="N18" s="28">
        <f>M18*1.15</f>
        <v>28.309166666667</v>
      </c>
      <c r="O18" s="28">
        <f>M18</f>
        <v>24.616666666667</v>
      </c>
      <c r="P18" s="29">
        <f>3600/N18</f>
        <v>127.16728974714</v>
      </c>
      <c r="Q18" s="29">
        <f>P18</f>
        <v>127.16728974714</v>
      </c>
      <c r="R18" s="27">
        <f>O18/$Q$6</f>
        <v>0.63593055555556</v>
      </c>
      <c r="S18" s="30"/>
      <c r="T18" s="31">
        <f>Q18*8</f>
        <v>1017.3383179771</v>
      </c>
    </row>
    <row r="19" spans="1:22" customHeight="1" ht="28.5">
      <c r="B19" s="24">
        <v>9</v>
      </c>
      <c r="C19" s="24" t="s">
        <v>43</v>
      </c>
      <c r="D19" s="25" t="s">
        <v>60</v>
      </c>
      <c r="E19" s="24" t="s">
        <v>61</v>
      </c>
      <c r="F19" s="24"/>
      <c r="G19" s="26">
        <v>1</v>
      </c>
      <c r="H19" s="27">
        <f>9.78+15.54</f>
        <v>25.32</v>
      </c>
      <c r="I19" s="27">
        <f>9.78+15.6</f>
        <v>25.38</v>
      </c>
      <c r="J19" s="27">
        <f>9.78+15.65</f>
        <v>25.43</v>
      </c>
      <c r="K19" s="27"/>
      <c r="L19" s="27"/>
      <c r="M19" s="28">
        <f>AVERAGE(H19:L19)</f>
        <v>25.376666666667</v>
      </c>
      <c r="N19" s="28">
        <f>M19*1.15</f>
        <v>29.183166666667</v>
      </c>
      <c r="O19" s="28">
        <f>M19</f>
        <v>25.376666666667</v>
      </c>
      <c r="P19" s="29">
        <f>3600/N19</f>
        <v>123.35878560129</v>
      </c>
      <c r="Q19" s="29">
        <f>P19</f>
        <v>123.35878560129</v>
      </c>
      <c r="R19" s="27">
        <f>O19/$Q$6</f>
        <v>0.65556388888889</v>
      </c>
      <c r="S19" s="30"/>
      <c r="T19" s="31">
        <f>Q19*8</f>
        <v>986.87028481031</v>
      </c>
    </row>
    <row r="20" spans="1:22" customHeight="1" ht="25.15">
      <c r="B20" s="24">
        <v>10</v>
      </c>
      <c r="C20" s="24" t="s">
        <v>43</v>
      </c>
      <c r="D20" s="25" t="s">
        <v>62</v>
      </c>
      <c r="E20" s="24" t="s">
        <v>63</v>
      </c>
      <c r="F20" s="24"/>
      <c r="G20" s="26">
        <v>1</v>
      </c>
      <c r="H20" s="27">
        <v>29.57</v>
      </c>
      <c r="I20" s="27">
        <v>30.06</v>
      </c>
      <c r="J20" s="27">
        <v>31.85</v>
      </c>
      <c r="K20" s="27"/>
      <c r="L20" s="27"/>
      <c r="M20" s="28">
        <f>AVERAGE(H20:L20)</f>
        <v>30.493333333333</v>
      </c>
      <c r="N20" s="28">
        <f>M20*1.15</f>
        <v>35.067333333333</v>
      </c>
      <c r="O20" s="28">
        <f>M20</f>
        <v>30.493333333333</v>
      </c>
      <c r="P20" s="29">
        <f>3600/N20</f>
        <v>102.65964525389</v>
      </c>
      <c r="Q20" s="29">
        <f>P20</f>
        <v>102.65964525389</v>
      </c>
      <c r="R20" s="27">
        <f>O20/$Q$6</f>
        <v>0.78774444444444</v>
      </c>
      <c r="S20" s="30"/>
      <c r="T20" s="31">
        <f>Q20*8</f>
        <v>821.27716203114</v>
      </c>
    </row>
    <row r="21" spans="1:22" customHeight="1" ht="25.15">
      <c r="B21" s="24">
        <v>11</v>
      </c>
      <c r="C21" s="24" t="s">
        <v>43</v>
      </c>
      <c r="D21" s="25" t="s">
        <v>64</v>
      </c>
      <c r="E21" s="24" t="s">
        <v>65</v>
      </c>
      <c r="F21" s="24"/>
      <c r="G21" s="26">
        <v>1</v>
      </c>
      <c r="H21" s="27">
        <f>24.07+7.019</f>
        <v>31.089</v>
      </c>
      <c r="I21" s="27">
        <f>24.69+7.3</f>
        <v>31.99</v>
      </c>
      <c r="J21" s="27">
        <f>25.28+6.64</f>
        <v>31.92</v>
      </c>
      <c r="K21" s="27"/>
      <c r="L21" s="27"/>
      <c r="M21" s="28">
        <f>AVERAGE(H21:L21)</f>
        <v>31.666333333333</v>
      </c>
      <c r="N21" s="28">
        <f>M21*1.15</f>
        <v>36.416283333333</v>
      </c>
      <c r="O21" s="28">
        <f>M21</f>
        <v>31.666333333333</v>
      </c>
      <c r="P21" s="29">
        <f>3600/N21</f>
        <v>98.856875838968</v>
      </c>
      <c r="Q21" s="29">
        <f>P21</f>
        <v>98.856875838968</v>
      </c>
      <c r="R21" s="27">
        <f>O21/$Q$6</f>
        <v>0.81804694444444</v>
      </c>
      <c r="S21" s="30"/>
      <c r="T21" s="31">
        <f>Q21*8</f>
        <v>790.85500671174</v>
      </c>
    </row>
    <row r="22" spans="1:22" customHeight="1" ht="25.15">
      <c r="B22" s="24">
        <v>12</v>
      </c>
      <c r="C22" s="24" t="s">
        <v>43</v>
      </c>
      <c r="D22" s="25" t="s">
        <v>66</v>
      </c>
      <c r="E22" s="24" t="s">
        <v>67</v>
      </c>
      <c r="F22" s="24"/>
      <c r="G22" s="26">
        <v>1</v>
      </c>
      <c r="H22" s="27">
        <v>31.03</v>
      </c>
      <c r="I22" s="27">
        <v>30.07</v>
      </c>
      <c r="J22" s="27">
        <v>31.18</v>
      </c>
      <c r="K22" s="27"/>
      <c r="L22" s="27"/>
      <c r="M22" s="28">
        <f>AVERAGE(H22:L22)</f>
        <v>30.76</v>
      </c>
      <c r="N22" s="28">
        <f>M22*1.15</f>
        <v>35.374</v>
      </c>
      <c r="O22" s="28">
        <f>M22</f>
        <v>30.76</v>
      </c>
      <c r="P22" s="29">
        <f>3600/N22</f>
        <v>101.76966133318</v>
      </c>
      <c r="Q22" s="29">
        <f>P22</f>
        <v>101.76966133318</v>
      </c>
      <c r="R22" s="27">
        <f>O22/$Q$6</f>
        <v>0.79463333333333</v>
      </c>
      <c r="S22" s="30"/>
      <c r="T22" s="31">
        <f>Q22*8</f>
        <v>814.15729066546</v>
      </c>
    </row>
    <row r="23" spans="1:22" customHeight="1" ht="25.15">
      <c r="B23" s="24">
        <v>13</v>
      </c>
      <c r="C23" s="24" t="s">
        <v>43</v>
      </c>
      <c r="D23" s="25" t="s">
        <v>68</v>
      </c>
      <c r="E23" s="24" t="s">
        <v>69</v>
      </c>
      <c r="F23" s="24"/>
      <c r="G23" s="26">
        <v>1</v>
      </c>
      <c r="H23" s="27">
        <f>18.56+4.41</f>
        <v>22.97</v>
      </c>
      <c r="I23" s="27">
        <f>18.25+4.43</f>
        <v>22.68</v>
      </c>
      <c r="J23" s="27">
        <f>17.37+4.97</f>
        <v>22.34</v>
      </c>
      <c r="K23" s="27"/>
      <c r="L23" s="27"/>
      <c r="M23" s="28">
        <f>AVERAGE(H23:L23)</f>
        <v>22.663333333333</v>
      </c>
      <c r="N23" s="28">
        <f>M23*1.15</f>
        <v>26.062833333333</v>
      </c>
      <c r="O23" s="28">
        <f>M23</f>
        <v>22.663333333333</v>
      </c>
      <c r="P23" s="29">
        <f>3600/N23</f>
        <v>138.12772978123</v>
      </c>
      <c r="Q23" s="29">
        <f>P23</f>
        <v>138.12772978123</v>
      </c>
      <c r="R23" s="27">
        <f>O23/$Q$6</f>
        <v>0.58546944444444</v>
      </c>
      <c r="S23" s="30"/>
      <c r="T23" s="31">
        <f>Q23*8</f>
        <v>1105.0218382499</v>
      </c>
    </row>
    <row r="24" spans="1:22" customHeight="1" ht="27">
      <c r="B24" s="24">
        <v>14</v>
      </c>
      <c r="C24" s="24" t="s">
        <v>43</v>
      </c>
      <c r="D24" s="25" t="s">
        <v>70</v>
      </c>
      <c r="E24" s="24" t="s">
        <v>71</v>
      </c>
      <c r="F24" s="24"/>
      <c r="G24" s="26">
        <v>1</v>
      </c>
      <c r="H24" s="27">
        <f>16.88+9.08</f>
        <v>25.96</v>
      </c>
      <c r="I24" s="27">
        <f>16.37+9.03</f>
        <v>25.4</v>
      </c>
      <c r="J24" s="27">
        <f>16.09+9.4</f>
        <v>25.49</v>
      </c>
      <c r="K24" s="27"/>
      <c r="L24" s="27"/>
      <c r="M24" s="28">
        <f>AVERAGE(H24:L24)</f>
        <v>25.616666666667</v>
      </c>
      <c r="N24" s="28">
        <f>M24*1.15</f>
        <v>29.459166666667</v>
      </c>
      <c r="O24" s="28">
        <f>M24</f>
        <v>25.616666666667</v>
      </c>
      <c r="P24" s="29">
        <f>3600/N24</f>
        <v>122.20304941869</v>
      </c>
      <c r="Q24" s="29">
        <f>P24</f>
        <v>122.20304941869</v>
      </c>
      <c r="R24" s="27">
        <f>O24/$Q$6</f>
        <v>0.66176388888889</v>
      </c>
      <c r="S24" s="30"/>
      <c r="T24" s="31">
        <f>Q24*8</f>
        <v>977.6243953495</v>
      </c>
    </row>
    <row r="25" spans="1:22" customHeight="1" ht="25.15">
      <c r="B25" s="24">
        <v>15</v>
      </c>
      <c r="C25" s="24" t="s">
        <v>43</v>
      </c>
      <c r="D25" s="25" t="s">
        <v>72</v>
      </c>
      <c r="E25" s="24" t="s">
        <v>73</v>
      </c>
      <c r="F25" s="24"/>
      <c r="G25" s="26">
        <v>1</v>
      </c>
      <c r="H25" s="27">
        <v>25.78</v>
      </c>
      <c r="I25" s="27">
        <v>26.95</v>
      </c>
      <c r="J25" s="27">
        <v>26.47</v>
      </c>
      <c r="K25" s="27"/>
      <c r="L25" s="27"/>
      <c r="M25" s="28">
        <f>AVERAGE(H25:L25)</f>
        <v>26.4</v>
      </c>
      <c r="N25" s="28">
        <f>M25*1.15</f>
        <v>30.36</v>
      </c>
      <c r="O25" s="28">
        <f>M25</f>
        <v>26.4</v>
      </c>
      <c r="P25" s="29">
        <f>3600/N25</f>
        <v>118.57707509881</v>
      </c>
      <c r="Q25" s="29">
        <f>P25</f>
        <v>118.57707509881</v>
      </c>
      <c r="R25" s="27">
        <f>O25/$Q$6</f>
        <v>0.682</v>
      </c>
      <c r="S25" s="30"/>
      <c r="T25" s="31">
        <f>Q25*8</f>
        <v>948.61660079051</v>
      </c>
    </row>
    <row r="26" spans="1:22" customHeight="1" ht="25.15">
      <c r="B26" s="24">
        <v>16</v>
      </c>
      <c r="C26" s="24" t="s">
        <v>43</v>
      </c>
      <c r="D26" s="25" t="s">
        <v>74</v>
      </c>
      <c r="E26" s="24" t="s">
        <v>75</v>
      </c>
      <c r="F26" s="24"/>
      <c r="G26" s="26">
        <v>1</v>
      </c>
      <c r="H26" s="27">
        <f>9.19+16.22</f>
        <v>25.41</v>
      </c>
      <c r="I26" s="27">
        <f>10.03+16.9</f>
        <v>26.93</v>
      </c>
      <c r="J26" s="27">
        <f>10.09+17.64</f>
        <v>27.73</v>
      </c>
      <c r="K26" s="27"/>
      <c r="L26" s="27"/>
      <c r="M26" s="28">
        <f>AVERAGE(H26:L26)</f>
        <v>26.69</v>
      </c>
      <c r="N26" s="28">
        <f>M26*1.15</f>
        <v>30.6935</v>
      </c>
      <c r="O26" s="28">
        <f>M26</f>
        <v>26.69</v>
      </c>
      <c r="P26" s="29">
        <f>3600/N26</f>
        <v>117.28867675566</v>
      </c>
      <c r="Q26" s="29">
        <f>P26</f>
        <v>117.28867675566</v>
      </c>
      <c r="R26" s="27">
        <f>O26/$Q$6</f>
        <v>0.68949166666667</v>
      </c>
      <c r="S26" s="30"/>
      <c r="T26" s="31">
        <f>Q26*8</f>
        <v>938.30941404532</v>
      </c>
    </row>
    <row r="27" spans="1:22" customHeight="1" ht="30">
      <c r="B27" s="24">
        <v>17</v>
      </c>
      <c r="C27" s="24" t="s">
        <v>43</v>
      </c>
      <c r="D27" s="25" t="s">
        <v>76</v>
      </c>
      <c r="E27" s="24" t="s">
        <v>77</v>
      </c>
      <c r="F27" s="24"/>
      <c r="G27" s="26">
        <v>1</v>
      </c>
      <c r="H27" s="27">
        <v>25.81</v>
      </c>
      <c r="I27" s="27">
        <v>25.75</v>
      </c>
      <c r="J27" s="27">
        <v>26.68</v>
      </c>
      <c r="K27" s="27"/>
      <c r="L27" s="27"/>
      <c r="M27" s="28">
        <f>AVERAGE(H27:L27)</f>
        <v>26.08</v>
      </c>
      <c r="N27" s="28">
        <f>M27*1.15</f>
        <v>29.992</v>
      </c>
      <c r="O27" s="28">
        <f>M27</f>
        <v>26.08</v>
      </c>
      <c r="P27" s="29">
        <f>3600/N27</f>
        <v>120.03200853561</v>
      </c>
      <c r="Q27" s="29">
        <f>P27</f>
        <v>120.03200853561</v>
      </c>
      <c r="R27" s="27">
        <f>O27/$Q$6</f>
        <v>0.67373333333333</v>
      </c>
      <c r="S27" s="30"/>
      <c r="T27" s="31">
        <f>Q27*8</f>
        <v>960.25606828488</v>
      </c>
    </row>
    <row r="28" spans="1:22" customHeight="1" ht="26.25">
      <c r="B28" s="24">
        <v>18</v>
      </c>
      <c r="C28" s="24" t="s">
        <v>43</v>
      </c>
      <c r="D28" s="25" t="s">
        <v>78</v>
      </c>
      <c r="E28" s="24" t="s">
        <v>79</v>
      </c>
      <c r="F28" s="24"/>
      <c r="G28" s="26">
        <v>1</v>
      </c>
      <c r="H28" s="27">
        <v>30.47</v>
      </c>
      <c r="I28" s="27">
        <v>29.03</v>
      </c>
      <c r="J28" s="27">
        <v>29.97</v>
      </c>
      <c r="K28" s="27"/>
      <c r="L28" s="27"/>
      <c r="M28" s="28">
        <f>AVERAGE(H28:L28)</f>
        <v>29.823333333333</v>
      </c>
      <c r="N28" s="28">
        <f>M28*1.15</f>
        <v>34.296833333333</v>
      </c>
      <c r="O28" s="28">
        <f>M28</f>
        <v>29.823333333333</v>
      </c>
      <c r="P28" s="29">
        <f>3600/N28</f>
        <v>104.96595895637</v>
      </c>
      <c r="Q28" s="29">
        <f>P28</f>
        <v>104.96595895637</v>
      </c>
      <c r="R28" s="27">
        <f>O28/$Q$6</f>
        <v>0.77043611111111</v>
      </c>
      <c r="S28" s="30"/>
      <c r="T28" s="31">
        <f>Q28*8</f>
        <v>839.72767165093</v>
      </c>
    </row>
    <row r="29" spans="1:22" customHeight="1" ht="29.25">
      <c r="B29" s="24">
        <v>19</v>
      </c>
      <c r="C29" s="24" t="s">
        <v>43</v>
      </c>
      <c r="D29" s="25" t="s">
        <v>80</v>
      </c>
      <c r="E29" s="24" t="s">
        <v>81</v>
      </c>
      <c r="F29" s="24"/>
      <c r="G29" s="26">
        <v>1</v>
      </c>
      <c r="H29" s="27">
        <f>16.28+6.38+6.34</f>
        <v>29</v>
      </c>
      <c r="I29" s="27">
        <f>15.5+6.97+5.34</f>
        <v>27.81</v>
      </c>
      <c r="J29" s="27">
        <f>16.65+6.69+5.09</f>
        <v>28.43</v>
      </c>
      <c r="K29" s="27"/>
      <c r="L29" s="27"/>
      <c r="M29" s="28">
        <f>AVERAGE(H29:L29)</f>
        <v>28.413333333333</v>
      </c>
      <c r="N29" s="28">
        <f>M29*1.15</f>
        <v>32.675333333333</v>
      </c>
      <c r="O29" s="28">
        <f>M29</f>
        <v>28.413333333333</v>
      </c>
      <c r="P29" s="29">
        <f>3600/N29</f>
        <v>110.17485156999</v>
      </c>
      <c r="Q29" s="29">
        <f>P29</f>
        <v>110.17485156999</v>
      </c>
      <c r="R29" s="27">
        <f>O29/$Q$6</f>
        <v>0.73401111111111</v>
      </c>
      <c r="S29" s="30"/>
      <c r="T29" s="31">
        <f>Q29*8</f>
        <v>881.39881255993</v>
      </c>
    </row>
    <row r="30" spans="1:22" customHeight="1" ht="29.25">
      <c r="B30" s="24">
        <v>20</v>
      </c>
      <c r="C30" s="24" t="s">
        <v>43</v>
      </c>
      <c r="D30" s="25" t="s">
        <v>82</v>
      </c>
      <c r="E30" s="24" t="s">
        <v>83</v>
      </c>
      <c r="F30" s="24"/>
      <c r="G30" s="26">
        <v>1</v>
      </c>
      <c r="H30" s="27">
        <f>9.81+16.44+4.75</f>
        <v>31</v>
      </c>
      <c r="I30" s="27">
        <f>9.75+15.06+5.25</f>
        <v>30.06</v>
      </c>
      <c r="J30" s="27">
        <f>9.44+16.32+4.53</f>
        <v>30.29</v>
      </c>
      <c r="K30" s="27"/>
      <c r="L30" s="27"/>
      <c r="M30" s="28">
        <f>AVERAGE(H30:L30)</f>
        <v>30.45</v>
      </c>
      <c r="N30" s="28">
        <f>M30*1.15</f>
        <v>35.0175</v>
      </c>
      <c r="O30" s="28">
        <f>M30</f>
        <v>30.45</v>
      </c>
      <c r="P30" s="29">
        <f>3600/N30</f>
        <v>102.80573998715</v>
      </c>
      <c r="Q30" s="29">
        <f>P30</f>
        <v>102.80573998715</v>
      </c>
      <c r="R30" s="27">
        <f>O30/$Q$6</f>
        <v>0.786625</v>
      </c>
      <c r="S30" s="30"/>
      <c r="T30" s="31">
        <f>Q30*8</f>
        <v>822.44591989719</v>
      </c>
    </row>
    <row r="31" spans="1:22" customHeight="1" ht="25.15">
      <c r="B31" s="24">
        <v>21</v>
      </c>
      <c r="C31" s="24" t="s">
        <v>43</v>
      </c>
      <c r="D31" s="25" t="s">
        <v>84</v>
      </c>
      <c r="E31" s="24" t="s">
        <v>85</v>
      </c>
      <c r="F31" s="24"/>
      <c r="G31" s="26">
        <v>1</v>
      </c>
      <c r="H31" s="27">
        <f>22.85+5.13</f>
        <v>27.98</v>
      </c>
      <c r="I31" s="27">
        <f>20.53+6.79</f>
        <v>27.32</v>
      </c>
      <c r="J31" s="27">
        <f>21.94+5.97</f>
        <v>27.91</v>
      </c>
      <c r="K31" s="27"/>
      <c r="L31" s="27"/>
      <c r="M31" s="28">
        <f>AVERAGE(H31:L31)</f>
        <v>27.736666666667</v>
      </c>
      <c r="N31" s="28">
        <f>M31*1.15</f>
        <v>31.897166666667</v>
      </c>
      <c r="O31" s="28">
        <f>M31</f>
        <v>27.736666666667</v>
      </c>
      <c r="P31" s="29">
        <f>3600/N31</f>
        <v>112.86268895356</v>
      </c>
      <c r="Q31" s="29">
        <f>P31</f>
        <v>112.86268895356</v>
      </c>
      <c r="R31" s="27">
        <f>O31/$Q$6</f>
        <v>0.71653055555556</v>
      </c>
      <c r="S31" s="30"/>
      <c r="T31" s="31">
        <f>Q31*8</f>
        <v>902.90151162851</v>
      </c>
    </row>
    <row r="32" spans="1:22" customHeight="1" ht="31.5">
      <c r="E32" s="32" t="s">
        <v>22</v>
      </c>
      <c r="F32" s="32"/>
      <c r="G32" s="33">
        <f>SUM(G11:G31)</f>
        <v>21</v>
      </c>
      <c r="H32" s="32"/>
      <c r="I32" s="32"/>
      <c r="J32" s="32"/>
      <c r="K32" s="32"/>
      <c r="L32" s="32"/>
      <c r="M32" s="34">
        <f>SUM(M11:M31)</f>
        <v>592.443</v>
      </c>
      <c r="N32" s="34">
        <f>SUM(N11:N31)</f>
        <v>681.30945</v>
      </c>
      <c r="O32" s="34">
        <f>MAX(O11:O31)</f>
        <v>34.996666666667</v>
      </c>
      <c r="P32" s="33">
        <f>MAX(P11:P31)</f>
        <v>138.12772978123</v>
      </c>
      <c r="Q32" s="33">
        <f>MIN(Q11:Q31)</f>
        <v>89.449512790038</v>
      </c>
      <c r="R32" s="34">
        <f>SUM(R11:R31)</f>
        <v>15.3047775</v>
      </c>
      <c r="S32" s="32"/>
      <c r="T32" s="33">
        <f>MIN(T11:T31)</f>
        <v>715.5961023203</v>
      </c>
    </row>
    <row r="33" spans="1:22" customHeight="1" ht="18.75"/>
    <row r="35" spans="1:22" customHeight="1" ht="25.15">
      <c r="M35" s="16" t="s">
        <v>23</v>
      </c>
      <c r="N35" s="16"/>
      <c r="O35" s="16"/>
      <c r="P35" s="16"/>
      <c r="Q35" s="16"/>
      <c r="R35" s="35">
        <f>N32</f>
        <v>681.30945</v>
      </c>
      <c r="S35" s="36" t="s">
        <v>32</v>
      </c>
      <c r="T35" s="36"/>
    </row>
    <row r="36" spans="1:22" customHeight="1" ht="25.15">
      <c r="M36" s="16" t="s">
        <v>24</v>
      </c>
      <c r="N36" s="16"/>
      <c r="O36" s="16"/>
      <c r="P36" s="16"/>
      <c r="Q36" s="16"/>
      <c r="R36" s="37">
        <f>G32</f>
        <v>21</v>
      </c>
      <c r="S36" s="36" t="s">
        <v>33</v>
      </c>
      <c r="T36" s="36"/>
    </row>
    <row r="37" spans="1:22" customHeight="1" ht="25.15">
      <c r="M37" s="16" t="s">
        <v>25</v>
      </c>
      <c r="N37" s="16"/>
      <c r="O37" s="16"/>
      <c r="P37" s="16"/>
      <c r="Q37" s="16"/>
      <c r="R37" s="35">
        <f>R35/R36</f>
        <v>32.443307142857</v>
      </c>
      <c r="S37" s="36" t="s">
        <v>86</v>
      </c>
      <c r="T37" s="36" t="s">
        <v>32</v>
      </c>
    </row>
    <row r="38" spans="1:22" customHeight="1" ht="25.15">
      <c r="M38" s="16" t="s">
        <v>26</v>
      </c>
      <c r="N38" s="16"/>
      <c r="O38" s="16"/>
      <c r="P38" s="16"/>
      <c r="Q38" s="16"/>
      <c r="R38" s="37">
        <v>28800</v>
      </c>
      <c r="S38" s="36" t="s">
        <v>87</v>
      </c>
      <c r="T38" s="36" t="s">
        <v>32</v>
      </c>
    </row>
    <row r="39" spans="1:22" customHeight="1" ht="25.15">
      <c r="M39" s="16" t="s">
        <v>27</v>
      </c>
      <c r="N39" s="16"/>
      <c r="O39" s="16"/>
      <c r="P39" s="16"/>
      <c r="Q39" s="16"/>
      <c r="R39" s="37">
        <f>ROUND(R38/R35,0)</f>
        <v>42</v>
      </c>
      <c r="S39" s="36" t="s">
        <v>88</v>
      </c>
      <c r="T39" s="36" t="s">
        <v>89</v>
      </c>
    </row>
    <row r="40" spans="1:22" customHeight="1" ht="25.15">
      <c r="M40" s="16" t="s">
        <v>28</v>
      </c>
      <c r="N40" s="16"/>
      <c r="O40" s="16"/>
      <c r="P40" s="16"/>
      <c r="Q40" s="16"/>
      <c r="R40" s="37">
        <f>R36*R39</f>
        <v>882</v>
      </c>
      <c r="S40" s="36" t="s">
        <v>34</v>
      </c>
      <c r="T40" s="36"/>
    </row>
    <row r="41" spans="1:22" customHeight="1" ht="25.15">
      <c r="M41" s="16" t="s">
        <v>29</v>
      </c>
      <c r="N41" s="16"/>
      <c r="O41" s="16"/>
      <c r="P41" s="16"/>
      <c r="Q41" s="16"/>
      <c r="R41" s="35">
        <f>R40/8</f>
        <v>110.25</v>
      </c>
      <c r="S41" s="36" t="s">
        <v>35</v>
      </c>
      <c r="T41" s="36"/>
    </row>
    <row r="42" spans="1:22" customHeight="1" ht="25.15">
      <c r="M42" s="16" t="s">
        <v>30</v>
      </c>
      <c r="N42" s="16"/>
      <c r="O42" s="16"/>
      <c r="P42" s="16"/>
      <c r="Q42" s="16"/>
      <c r="R42" s="35">
        <f>3600/N10</f>
        <v>111.62848386813</v>
      </c>
      <c r="S42" s="36" t="s">
        <v>35</v>
      </c>
      <c r="T42" s="36"/>
    </row>
    <row r="43" spans="1:22" customHeight="1" ht="25.15">
      <c r="M43" s="16" t="s">
        <v>31</v>
      </c>
      <c r="N43" s="16"/>
      <c r="O43" s="16"/>
      <c r="P43" s="16"/>
      <c r="Q43" s="16"/>
      <c r="R43" s="37">
        <v>93</v>
      </c>
      <c r="S43" s="36" t="s">
        <v>35</v>
      </c>
      <c r="T43" s="36"/>
    </row>
    <row r="44" spans="1:22" customHeight="1" ht="3.75"/>
  </sheetData>
  <mergeCells>
    <mergeCell ref="B2:Q2"/>
    <mergeCell ref="E3:G3"/>
    <mergeCell ref="H3:K3"/>
    <mergeCell ref="L3:O3"/>
    <mergeCell ref="E4:G4"/>
    <mergeCell ref="H4:K4"/>
    <mergeCell ref="L4:O6"/>
    <mergeCell ref="E5:G5"/>
    <mergeCell ref="H5:K5"/>
    <mergeCell ref="E6:G6"/>
    <mergeCell ref="H6:K6"/>
    <mergeCell ref="B7:B10"/>
    <mergeCell ref="C7:C10"/>
    <mergeCell ref="D7:D10"/>
    <mergeCell ref="E7:E10"/>
    <mergeCell ref="F7:F10"/>
    <mergeCell ref="G7:G9"/>
    <mergeCell ref="H7:L9"/>
    <mergeCell ref="M7:M9"/>
    <mergeCell ref="N7:N9"/>
    <mergeCell ref="O7:O9"/>
    <mergeCell ref="P7:P9"/>
    <mergeCell ref="Q7:Q9"/>
    <mergeCell ref="R7:R10"/>
    <mergeCell ref="S7:S9"/>
    <mergeCell ref="T7:T9"/>
    <mergeCell ref="E32:T32"/>
    <mergeCell ref="S11:S11"/>
    <mergeCell ref="M35:Q35"/>
    <mergeCell ref="M36:Q36"/>
    <mergeCell ref="M37:Q37"/>
    <mergeCell ref="M38:Q38"/>
    <mergeCell ref="M39:Q39"/>
    <mergeCell ref="M40:Q40"/>
    <mergeCell ref="M41:Q41"/>
    <mergeCell ref="M42:Q42"/>
    <mergeCell ref="M43:Q43"/>
    <mergeCell ref="S35:T35"/>
    <mergeCell ref="S36:T36"/>
    <mergeCell ref="S40:T40"/>
    <mergeCell ref="S41:T41"/>
    <mergeCell ref="S42:T42"/>
    <mergeCell ref="S43:T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 Livlig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2026-10-01T16:49:23+02:00</dcterms:created>
  <dcterms:modified xsi:type="dcterms:W3CDTF">2026-10-01T16:49:23+02:00</dcterms:modified>
  <dc:title>Untitled Spreadsheet</dc:title>
  <dc:description/>
  <dc:subject/>
  <cp:keywords/>
  <cp:category/>
</cp:coreProperties>
</file>